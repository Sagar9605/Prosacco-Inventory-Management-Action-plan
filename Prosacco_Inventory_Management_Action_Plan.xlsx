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Thesis\Unilever_Supply_chain\"/>
    </mc:Choice>
  </mc:AlternateContent>
  <xr:revisionPtr revIDLastSave="0" documentId="13_ncr:1_{1AFB8786-659A-4AE0-B409-E07F6F085C87}" xr6:coauthVersionLast="47" xr6:coauthVersionMax="47" xr10:uidLastSave="{00000000-0000-0000-0000-000000000000}"/>
  <bookViews>
    <workbookView xWindow="-108" yWindow="-108" windowWidth="23256" windowHeight="12456" activeTab="1" xr2:uid="{00000000-000D-0000-FFFF-FFFF00000000}"/>
  </bookViews>
  <sheets>
    <sheet name="SALES &amp; CURR INV" sheetId="1" r:id="rId1"/>
    <sheet name="LOGISTICS DATA" sheetId="3" r:id="rId2"/>
    <sheet name="WH DATA" sheetId="4" r:id="rId3"/>
    <sheet name="ACTION PLAN" sheetId="5" r:id="rId4"/>
  </sheets>
  <calcPr calcId="191029"/>
</workbook>
</file>

<file path=xl/calcChain.xml><?xml version="1.0" encoding="utf-8"?>
<calcChain xmlns="http://schemas.openxmlformats.org/spreadsheetml/2006/main">
  <c r="J8" i="1" l="1"/>
  <c r="K8" i="1"/>
  <c r="L8" i="1" s="1"/>
  <c r="C3" i="4"/>
  <c r="F28" i="1"/>
  <c r="U16" i="1"/>
  <c r="V16" i="1" s="1"/>
  <c r="U12" i="1"/>
  <c r="V12" i="1" s="1"/>
  <c r="U10" i="1"/>
  <c r="V10" i="1" s="1"/>
  <c r="G8" i="1"/>
  <c r="F8" i="1"/>
  <c r="G6" i="1"/>
  <c r="J6" i="1" s="1"/>
  <c r="F6" i="1"/>
  <c r="G5" i="1"/>
  <c r="J5" i="1" s="1"/>
  <c r="F5" i="1"/>
  <c r="U4" i="1"/>
  <c r="V4" i="1" s="1"/>
  <c r="G4" i="1"/>
  <c r="J4" i="1" s="1"/>
  <c r="K4" i="1" s="1"/>
  <c r="L4" i="1" s="1"/>
  <c r="M4" i="1" s="1"/>
  <c r="F4" i="1"/>
</calcChain>
</file>

<file path=xl/sharedStrings.xml><?xml version="1.0" encoding="utf-8"?>
<sst xmlns="http://schemas.openxmlformats.org/spreadsheetml/2006/main" count="490" uniqueCount="142">
  <si>
    <t>SALES&gt;&gt;&gt;</t>
  </si>
  <si>
    <t>ITEM</t>
  </si>
  <si>
    <t>UNIT PRICE</t>
  </si>
  <si>
    <t>DIMENSIONS (SQ FT)</t>
  </si>
  <si>
    <t>SERVICE LEVEL</t>
  </si>
  <si>
    <t>MEAN</t>
  </si>
  <si>
    <t>STD DEV</t>
  </si>
  <si>
    <t>Z-SCORE</t>
  </si>
  <si>
    <t>LEAD TIME (Weeks)</t>
  </si>
  <si>
    <t>SAFETY STOCK</t>
  </si>
  <si>
    <t>NEW INVENTORY</t>
  </si>
  <si>
    <t>WH SPACE NEEDED (sq ft)</t>
  </si>
  <si>
    <t>PALLETS NEEDED</t>
  </si>
  <si>
    <t>CURRENT INVENTORY</t>
  </si>
  <si>
    <t>2H Target Revenue</t>
  </si>
  <si>
    <t>A1</t>
  </si>
  <si>
    <t>A2</t>
  </si>
  <si>
    <t>A3</t>
  </si>
  <si>
    <t>A4</t>
  </si>
  <si>
    <t>A5</t>
  </si>
  <si>
    <t>A6</t>
  </si>
  <si>
    <t>A7</t>
  </si>
  <si>
    <t>A8</t>
  </si>
  <si>
    <t>A9</t>
  </si>
  <si>
    <t>A10</t>
  </si>
  <si>
    <t>A11</t>
  </si>
  <si>
    <t>A12</t>
  </si>
  <si>
    <t>A13</t>
  </si>
  <si>
    <t>A14</t>
  </si>
  <si>
    <t>A15</t>
  </si>
  <si>
    <t>A16</t>
  </si>
  <si>
    <t>A17</t>
  </si>
  <si>
    <t>A18</t>
  </si>
  <si>
    <t>A19</t>
  </si>
  <si>
    <t>A20</t>
  </si>
  <si>
    <t>A21</t>
  </si>
  <si>
    <t>A22</t>
  </si>
  <si>
    <t>A23</t>
  </si>
  <si>
    <t>A24</t>
  </si>
  <si>
    <t>A25</t>
  </si>
  <si>
    <t>A26</t>
  </si>
  <si>
    <t>A27</t>
  </si>
  <si>
    <t>A28</t>
  </si>
  <si>
    <t>A29</t>
  </si>
  <si>
    <t>A30</t>
  </si>
  <si>
    <t>A31</t>
  </si>
  <si>
    <t>A32</t>
  </si>
  <si>
    <t>A33</t>
  </si>
  <si>
    <t>A34</t>
  </si>
  <si>
    <t>A35</t>
  </si>
  <si>
    <t>A36</t>
  </si>
  <si>
    <t>A37</t>
  </si>
  <si>
    <t>A38</t>
  </si>
  <si>
    <t>A39</t>
  </si>
  <si>
    <t>A40</t>
  </si>
  <si>
    <t>A41</t>
  </si>
  <si>
    <t>A42</t>
  </si>
  <si>
    <t>A43</t>
  </si>
  <si>
    <t>A44</t>
  </si>
  <si>
    <t>A45</t>
  </si>
  <si>
    <t>A46</t>
  </si>
  <si>
    <t>A47</t>
  </si>
  <si>
    <t>A48</t>
  </si>
  <si>
    <t>A49</t>
  </si>
  <si>
    <t>A50</t>
  </si>
  <si>
    <t>A51</t>
  </si>
  <si>
    <t>A52</t>
  </si>
  <si>
    <t>A53</t>
  </si>
  <si>
    <t>A54</t>
  </si>
  <si>
    <t>A55</t>
  </si>
  <si>
    <t>A56</t>
  </si>
  <si>
    <t>A57</t>
  </si>
  <si>
    <t>A58</t>
  </si>
  <si>
    <t>A59</t>
  </si>
  <si>
    <t>A60</t>
  </si>
  <si>
    <t>A61</t>
  </si>
  <si>
    <t>A62</t>
  </si>
  <si>
    <t>A63</t>
  </si>
  <si>
    <t>A64</t>
  </si>
  <si>
    <t>A65</t>
  </si>
  <si>
    <t>A66</t>
  </si>
  <si>
    <t>A67</t>
  </si>
  <si>
    <t>A68</t>
  </si>
  <si>
    <t>A69</t>
  </si>
  <si>
    <t>A70</t>
  </si>
  <si>
    <t>A71</t>
  </si>
  <si>
    <t>A72</t>
  </si>
  <si>
    <t>A73</t>
  </si>
  <si>
    <t>A74</t>
  </si>
  <si>
    <t>A75</t>
  </si>
  <si>
    <t>A76</t>
  </si>
  <si>
    <t>A77</t>
  </si>
  <si>
    <t>A78</t>
  </si>
  <si>
    <t>A79</t>
  </si>
  <si>
    <t>A80</t>
  </si>
  <si>
    <t>A81</t>
  </si>
  <si>
    <t>A82</t>
  </si>
  <si>
    <t>A83</t>
  </si>
  <si>
    <t>A84</t>
  </si>
  <si>
    <t>A85</t>
  </si>
  <si>
    <t>A86</t>
  </si>
  <si>
    <t>A87</t>
  </si>
  <si>
    <t>A88</t>
  </si>
  <si>
    <t>A89</t>
  </si>
  <si>
    <t>A90</t>
  </si>
  <si>
    <t>A91</t>
  </si>
  <si>
    <t>A92</t>
  </si>
  <si>
    <t>A93</t>
  </si>
  <si>
    <t>A94</t>
  </si>
  <si>
    <t>A95</t>
  </si>
  <si>
    <t>A96</t>
  </si>
  <si>
    <t>A97</t>
  </si>
  <si>
    <t>A98</t>
  </si>
  <si>
    <t>A99</t>
  </si>
  <si>
    <t>A100</t>
  </si>
  <si>
    <t>AIR</t>
  </si>
  <si>
    <t>OCEAN</t>
  </si>
  <si>
    <t>Item</t>
  </si>
  <si>
    <t>Supplier</t>
  </si>
  <si>
    <t>Destination</t>
  </si>
  <si>
    <t>Cost</t>
  </si>
  <si>
    <t>Lead Time (days)</t>
  </si>
  <si>
    <t>Supplier 1</t>
  </si>
  <si>
    <t>Warehouse 1</t>
  </si>
  <si>
    <t>Supplier 2</t>
  </si>
  <si>
    <t>Supplier 3</t>
  </si>
  <si>
    <t>Warehouse 2</t>
  </si>
  <si>
    <t>Store 1</t>
  </si>
  <si>
    <t>Store 2</t>
  </si>
  <si>
    <t>Store 3</t>
  </si>
  <si>
    <t>TOTAL WH CAPACITY</t>
  </si>
  <si>
    <t>sq ft</t>
  </si>
  <si>
    <t>PALLET SIZE</t>
  </si>
  <si>
    <t>PALLET SPACE AVAILABLE</t>
  </si>
  <si>
    <t>pallets</t>
  </si>
  <si>
    <t>Dimension (sq ft)</t>
  </si>
  <si>
    <t>Prosacco may encounter the following issue when implementing the inventory plan:</t>
  </si>
  <si>
    <t>Prosacco could address this issue by using a combination of the following solutions:</t>
  </si>
  <si>
    <t>Implementing an inventory plan can address challenges and optimize inventory feedback in the following ways:</t>
  </si>
  <si>
    <t>Inaccurate demand forecasting due to gaps or volatility in historical sales data (e.g., sudden spikes, inconsistent monthly demand).
Stockouts or overstocking if safety stock and new inventory levels are misaligned with real lead times or demand variability.
Space constraints since WH (warehouse) space needed and pallets required vary widely across items. Some items could exceed available storage capacity.
High carrying costs for expensive SKUs with large safety stock requirements.
Service-level mismatches if actual performance deviates from the assumed 90–95% service levels used in planning.</t>
  </si>
  <si>
    <t>Improved service levels by ensuring the right stock is available to meet customer demand without frequent stockouts.
Reduced excess inventory and carrying costs by aligning replenishment with accurate demand forecasts.
Better space utilization through calculated pallet and warehouse requirements, preventing bottlenecks.
Data-driven decision-making by providing clear visibility into safety stock, lead times, and capacity needs.
Enhanced collaboration across teams (supply chain, sales, warehouse) since the plan standardizes expectations and responses to demand shifts.</t>
  </si>
  <si>
    <r>
      <rPr>
        <b/>
        <sz val="12"/>
        <color theme="1"/>
        <rFont val="Arial"/>
      </rPr>
      <t>Solution #1</t>
    </r>
    <r>
      <rPr>
        <sz val="12"/>
        <color theme="1"/>
        <rFont val="Arial"/>
      </rPr>
      <t xml:space="preserve">:
</t>
    </r>
    <r>
      <rPr>
        <i/>
        <sz val="12"/>
        <color rgb="FF0000FF"/>
        <rFont val="Arial"/>
      </rPr>
      <t>Refined demand forecasting methods (weighted moving averages, time-series modeling, seasonal adjustments)
Items like A1 (mean 123.33, std. dev. 28.31, 95% service level, lead time 2 weeks) show strong variability. Better forecasting smooths out peaks and avoids overstock.</t>
    </r>
    <r>
      <rPr>
        <i/>
        <sz val="12"/>
        <color theme="1"/>
        <rFont val="Arial"/>
      </rPr>
      <t xml:space="preserve">
</t>
    </r>
    <r>
      <rPr>
        <b/>
        <sz val="12"/>
        <color theme="1"/>
        <rFont val="Arial"/>
      </rPr>
      <t>Disadvantage of solution #1:</t>
    </r>
    <r>
      <rPr>
        <sz val="12"/>
        <color theme="1"/>
        <rFont val="Arial"/>
      </rPr>
      <t xml:space="preserve">
</t>
    </r>
    <r>
      <rPr>
        <i/>
        <sz val="12"/>
        <color rgb="FF0000FF"/>
        <rFont val="Arial"/>
      </rPr>
      <t>Requires clean, sufficient historical data and statistical expertise. Forecasts can still fail under sudden market disruptions (e.g., pandemics, supplier issues). If forecasts misjudge demand surges like A3 (demand swing from 77 to 192 units between Mar–May), stockouts can occur, leading to lost revenue even with forecasting models.</t>
    </r>
    <r>
      <rPr>
        <i/>
        <sz val="12"/>
        <color theme="1"/>
        <rFont val="Arial"/>
      </rPr>
      <t xml:space="preserve">
</t>
    </r>
    <r>
      <rPr>
        <sz val="12"/>
        <color theme="1"/>
        <rFont val="Arial"/>
      </rPr>
      <t xml:space="preserve"> 
</t>
    </r>
    <r>
      <rPr>
        <b/>
        <sz val="12"/>
        <color theme="1"/>
        <rFont val="Arial"/>
      </rPr>
      <t>Solution #2</t>
    </r>
    <r>
      <rPr>
        <sz val="12"/>
        <color theme="1"/>
        <rFont val="Arial"/>
      </rPr>
      <t xml:space="preserve">:
</t>
    </r>
    <r>
      <rPr>
        <i/>
        <sz val="12"/>
        <color rgb="FF0000FF"/>
        <rFont val="Arial"/>
      </rPr>
      <t xml:space="preserve">Regular review cycles (updating inventory plan with actual sales and lead-time data).
Items like A13 (steady demand ~122–197 units, 149.67 avg.) show a trend that can be caught early in reviews, aligning safety stock to meet 95% service level
</t>
    </r>
    <r>
      <rPr>
        <b/>
        <sz val="12"/>
        <color theme="1"/>
        <rFont val="Arial"/>
      </rPr>
      <t>Disadvantage of solution #2:</t>
    </r>
    <r>
      <rPr>
        <sz val="12"/>
        <color theme="1"/>
        <rFont val="Arial"/>
      </rPr>
      <t xml:space="preserve">
</t>
    </r>
    <r>
      <rPr>
        <i/>
        <sz val="12"/>
        <color rgb="FF0000FF"/>
        <rFont val="Arial"/>
      </rPr>
      <t>Time- and resource-intensive. Requires strong data integration across departments. Frequent changes may also create confusion if not communicated well. If review cycles lag, sudden dips (e.g., A9 dropping from 132 in Jan to 27 in May) cause mismatched inventory → stockouts → lost revenue.</t>
    </r>
    <r>
      <rPr>
        <i/>
        <sz val="12"/>
        <color theme="1"/>
        <rFont val="Arial"/>
      </rPr>
      <t xml:space="preserve">
</t>
    </r>
    <r>
      <rPr>
        <sz val="12"/>
        <color theme="1"/>
        <rFont val="Arial"/>
      </rPr>
      <t xml:space="preserve">
</t>
    </r>
    <r>
      <rPr>
        <b/>
        <sz val="12"/>
        <color theme="1"/>
        <rFont val="Arial"/>
      </rPr>
      <t>Solution #3</t>
    </r>
    <r>
      <rPr>
        <sz val="12"/>
        <color theme="1"/>
        <rFont val="Arial"/>
      </rPr>
      <t xml:space="preserve">:
</t>
    </r>
    <r>
      <rPr>
        <i/>
        <sz val="12"/>
        <color rgb="FF0000FF"/>
        <rFont val="Arial"/>
      </rPr>
      <t>ABC inventory segmentation (prioritizing high-value/high-variability items). High-value items like A7 ($7,636 unit price, service level 95%) and A18 ($9,938 unit price) deserve tighter monitoring, since a single stockout means large revenue loss.</t>
    </r>
    <r>
      <rPr>
        <i/>
        <sz val="12"/>
        <color theme="1"/>
        <rFont val="Arial"/>
      </rPr>
      <t xml:space="preserve">
</t>
    </r>
    <r>
      <rPr>
        <b/>
        <sz val="12"/>
        <color theme="1"/>
        <rFont val="Arial"/>
      </rPr>
      <t>Disadvantage of solution #3:</t>
    </r>
    <r>
      <rPr>
        <sz val="12"/>
        <color theme="1"/>
        <rFont val="Arial"/>
      </rPr>
      <t xml:space="preserve">
</t>
    </r>
    <r>
      <rPr>
        <i/>
        <sz val="12"/>
        <color rgb="FF0000FF"/>
        <rFont val="Arial"/>
      </rPr>
      <t>Classification must be updated frequently to remain relevant. Over-focus on “A” items could neglect low-value but essential products. Over-focusing on A-items may neglect lower-value but stable sellers (like A10, A11 with $2,070/$1,154), risking customer dissatisfaction from frequent stockouts of “less critical” items.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</si>
</sst>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yyyy"/>
    <numFmt numFmtId="165" formatCode="&quot;$&quot;#,##0.00"/>
  </numFmts>
  <fonts count="10">
    <font>
      <sz val="10"/>
      <color rgb="FF000000"/>
      <name val="Arial"/>
      <scheme val="minor"/>
    </font>
    <font>
      <b/>
      <sz val="10"/>
      <color theme="1"/>
      <name val="Arial"/>
      <scheme val="minor"/>
    </font>
    <font>
      <sz val="10"/>
      <color theme="1"/>
      <name val="Arial"/>
      <scheme val="minor"/>
    </font>
    <font>
      <sz val="10"/>
      <color rgb="FF0000FF"/>
      <name val="Arial"/>
      <scheme val="minor"/>
    </font>
    <font>
      <b/>
      <sz val="12"/>
      <color rgb="FFFFFFFF"/>
      <name val="&quot;Open Sans&quot;"/>
    </font>
    <font>
      <sz val="12"/>
      <color rgb="FF000000"/>
      <name val="&quot;Open Sans&quot;"/>
    </font>
    <font>
      <b/>
      <sz val="12"/>
      <color theme="1"/>
      <name val="Arial"/>
    </font>
    <font>
      <sz val="12"/>
      <color theme="1"/>
      <name val="Arial"/>
    </font>
    <font>
      <i/>
      <sz val="12"/>
      <color rgb="FF0000FF"/>
      <name val="Arial"/>
    </font>
    <font>
      <i/>
      <sz val="12"/>
      <color theme="1"/>
      <name val="Arial"/>
    </font>
  </fonts>
  <fills count="5">
    <fill>
      <patternFill patternType="none"/>
    </fill>
    <fill>
      <patternFill patternType="gray125"/>
    </fill>
    <fill>
      <patternFill patternType="solid">
        <fgColor rgb="FF00FFFF"/>
        <bgColor rgb="FF00FFFF"/>
      </patternFill>
    </fill>
    <fill>
      <patternFill patternType="solid">
        <fgColor rgb="FF00FF00"/>
        <bgColor rgb="FF00FF00"/>
      </patternFill>
    </fill>
    <fill>
      <patternFill patternType="solid">
        <fgColor rgb="FF000000"/>
        <bgColor rgb="FF000000"/>
      </patternFill>
    </fill>
  </fills>
  <borders count="1">
    <border>
      <left/>
      <right/>
      <top/>
      <bottom/>
      <diagonal/>
    </border>
  </borders>
  <cellStyleXfs count="1">
    <xf numFmtId="0" fontId="0" fillId="0" borderId="0"/>
  </cellStyleXfs>
  <cellXfs count="37">
    <xf numFmtId="0" fontId="0" fillId="0" borderId="0" xfId="0"/>
    <xf numFmtId="0" fontId="1" fillId="0" borderId="0" xfId="0" applyFont="1"/>
    <xf numFmtId="0" fontId="1" fillId="2" borderId="0" xfId="0" applyFont="1" applyFill="1" applyAlignment="1">
      <alignment horizontal="center"/>
    </xf>
    <xf numFmtId="164" fontId="1" fillId="0" borderId="0" xfId="0" applyNumberFormat="1" applyFont="1"/>
    <xf numFmtId="164" fontId="1" fillId="2" borderId="0" xfId="0" applyNumberFormat="1" applyFont="1" applyFill="1"/>
    <xf numFmtId="0" fontId="2" fillId="0" borderId="0" xfId="0" applyFont="1"/>
    <xf numFmtId="165" fontId="2" fillId="0" borderId="0" xfId="0" applyNumberFormat="1" applyFont="1"/>
    <xf numFmtId="10" fontId="3" fillId="2" borderId="0" xfId="0" applyNumberFormat="1" applyFont="1" applyFill="1" applyAlignment="1">
      <alignment horizontal="center"/>
    </xf>
    <xf numFmtId="2" fontId="3" fillId="2" borderId="0" xfId="0" applyNumberFormat="1" applyFont="1" applyFill="1" applyAlignment="1">
      <alignment horizontal="center"/>
    </xf>
    <xf numFmtId="0" fontId="3" fillId="2" borderId="0" xfId="0" applyFont="1" applyFill="1" applyAlignment="1">
      <alignment horizontal="center"/>
    </xf>
    <xf numFmtId="1" fontId="3" fillId="2" borderId="0" xfId="0" applyNumberFormat="1" applyFont="1" applyFill="1" applyAlignment="1">
      <alignment horizontal="center"/>
    </xf>
    <xf numFmtId="165" fontId="3" fillId="2" borderId="0" xfId="0" applyNumberFormat="1" applyFont="1" applyFill="1" applyAlignment="1">
      <alignment horizontal="center"/>
    </xf>
    <xf numFmtId="0" fontId="2" fillId="3" borderId="0" xfId="0" applyFont="1" applyFill="1"/>
    <xf numFmtId="10" fontId="2" fillId="0" borderId="0" xfId="0" applyNumberFormat="1" applyFont="1" applyAlignment="1">
      <alignment horizontal="center"/>
    </xf>
    <xf numFmtId="4" fontId="2" fillId="3" borderId="0" xfId="0" applyNumberFormat="1" applyFont="1" applyFill="1" applyAlignment="1">
      <alignment horizontal="center"/>
    </xf>
    <xf numFmtId="4" fontId="2" fillId="0" borderId="0" xfId="0" applyNumberFormat="1" applyFont="1" applyAlignment="1">
      <alignment horizontal="center"/>
    </xf>
    <xf numFmtId="0" fontId="2" fillId="0" borderId="0" xfId="0" applyFont="1" applyAlignment="1">
      <alignment horizontal="center"/>
    </xf>
    <xf numFmtId="3" fontId="2" fillId="0" borderId="0" xfId="0" applyNumberFormat="1" applyFont="1" applyAlignment="1">
      <alignment horizontal="center"/>
    </xf>
    <xf numFmtId="2" fontId="2" fillId="0" borderId="0" xfId="0" applyNumberFormat="1" applyFont="1" applyAlignment="1">
      <alignment horizontal="center"/>
    </xf>
    <xf numFmtId="3" fontId="2" fillId="3" borderId="0" xfId="0" applyNumberFormat="1" applyFont="1" applyFill="1" applyAlignment="1">
      <alignment horizontal="center"/>
    </xf>
    <xf numFmtId="2" fontId="2" fillId="3" borderId="0" xfId="0" applyNumberFormat="1" applyFont="1" applyFill="1" applyAlignment="1">
      <alignment horizontal="center"/>
    </xf>
    <xf numFmtId="4" fontId="2" fillId="0" borderId="0" xfId="0" applyNumberFormat="1" applyFont="1"/>
    <xf numFmtId="165" fontId="2" fillId="3" borderId="0" xfId="0" applyNumberFormat="1" applyFont="1" applyFill="1"/>
    <xf numFmtId="165" fontId="2" fillId="3" borderId="0" xfId="0" applyNumberFormat="1" applyFont="1" applyFill="1" applyAlignment="1">
      <alignment horizontal="center"/>
    </xf>
    <xf numFmtId="165" fontId="2" fillId="0" borderId="0" xfId="0" applyNumberFormat="1" applyFont="1" applyAlignment="1">
      <alignment horizontal="center"/>
    </xf>
    <xf numFmtId="4" fontId="2" fillId="3" borderId="0" xfId="0" applyNumberFormat="1" applyFont="1" applyFill="1"/>
    <xf numFmtId="0" fontId="1" fillId="0" borderId="0" xfId="0" applyFont="1" applyAlignment="1">
      <alignment horizontal="center"/>
    </xf>
    <xf numFmtId="0" fontId="1" fillId="0" borderId="0" xfId="0" applyFont="1" applyAlignment="1">
      <alignment horizontal="right"/>
    </xf>
    <xf numFmtId="0" fontId="4" fillId="4" borderId="0" xfId="0" applyFont="1" applyFill="1" applyAlignment="1">
      <alignment vertical="center" wrapText="1"/>
    </xf>
    <xf numFmtId="0" fontId="2" fillId="0" borderId="0" xfId="0" applyFont="1" applyAlignment="1">
      <alignment vertical="center"/>
    </xf>
    <xf numFmtId="0" fontId="5" fillId="0" borderId="0" xfId="0" applyFont="1" applyAlignment="1">
      <alignment vertical="top" wrapText="1"/>
    </xf>
    <xf numFmtId="0" fontId="2" fillId="0" borderId="0" xfId="0" applyFont="1" applyAlignment="1">
      <alignment vertical="top"/>
    </xf>
    <xf numFmtId="0" fontId="4" fillId="4" borderId="0" xfId="0" applyFont="1" applyFill="1" applyAlignment="1">
      <alignment wrapText="1"/>
    </xf>
    <xf numFmtId="0" fontId="2" fillId="0" borderId="0" xfId="0" applyFont="1" applyAlignment="1">
      <alignment wrapText="1"/>
    </xf>
    <xf numFmtId="0" fontId="7" fillId="0" borderId="0" xfId="0" applyFont="1" applyAlignment="1">
      <alignment vertical="top" wrapText="1"/>
    </xf>
    <xf numFmtId="0" fontId="1" fillId="0" borderId="0" xfId="0" applyFont="1" applyAlignment="1">
      <alignment horizontal="center"/>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2:AJ103"/>
  <sheetViews>
    <sheetView workbookViewId="0">
      <pane ySplit="3" topLeftCell="A4" activePane="bottomLeft" state="frozen"/>
      <selection pane="bottomLeft" activeCell="F12" sqref="F12"/>
    </sheetView>
  </sheetViews>
  <sheetFormatPr defaultColWidth="12.6640625" defaultRowHeight="15.75" customHeight="1"/>
  <cols>
    <col min="3" max="4" width="21.109375" customWidth="1"/>
    <col min="5" max="5" width="14.109375" customWidth="1"/>
    <col min="6" max="6" width="7" customWidth="1"/>
    <col min="7" max="7" width="8.21875" customWidth="1"/>
    <col min="8" max="8" width="8.44140625" customWidth="1"/>
    <col min="9" max="9" width="16.77734375" customWidth="1"/>
    <col min="10" max="10" width="13.88671875" customWidth="1"/>
    <col min="11" max="11" width="21.109375" customWidth="1"/>
    <col min="12" max="12" width="22.33203125" customWidth="1"/>
    <col min="13" max="14" width="21.109375" customWidth="1"/>
    <col min="22" max="22" width="16" customWidth="1"/>
  </cols>
  <sheetData>
    <row r="2" spans="1:36">
      <c r="O2" s="1" t="s">
        <v>0</v>
      </c>
    </row>
    <row r="3" spans="1:36">
      <c r="A3" s="1"/>
      <c r="B3" s="1" t="s">
        <v>1</v>
      </c>
      <c r="C3" s="1" t="s">
        <v>2</v>
      </c>
      <c r="D3" s="1" t="s">
        <v>3</v>
      </c>
      <c r="E3" s="2" t="s">
        <v>4</v>
      </c>
      <c r="F3" s="2" t="s">
        <v>5</v>
      </c>
      <c r="G3" s="2" t="s">
        <v>6</v>
      </c>
      <c r="H3" s="2" t="s">
        <v>7</v>
      </c>
      <c r="I3" s="2" t="s">
        <v>8</v>
      </c>
      <c r="J3" s="2" t="s">
        <v>9</v>
      </c>
      <c r="K3" s="2" t="s">
        <v>10</v>
      </c>
      <c r="L3" s="2" t="s">
        <v>11</v>
      </c>
      <c r="M3" s="2" t="s">
        <v>12</v>
      </c>
      <c r="N3" s="1" t="s">
        <v>13</v>
      </c>
      <c r="O3" s="3">
        <v>44927</v>
      </c>
      <c r="P3" s="3">
        <v>44958</v>
      </c>
      <c r="Q3" s="3">
        <v>44986</v>
      </c>
      <c r="R3" s="3">
        <v>45017</v>
      </c>
      <c r="S3" s="3">
        <v>45047</v>
      </c>
      <c r="T3" s="3">
        <v>45078</v>
      </c>
      <c r="U3" s="4">
        <v>45108</v>
      </c>
      <c r="V3" s="4" t="s">
        <v>14</v>
      </c>
      <c r="W3" s="1"/>
      <c r="X3" s="1"/>
      <c r="Y3" s="1"/>
      <c r="Z3" s="1"/>
      <c r="AA3" s="1"/>
      <c r="AB3" s="1"/>
      <c r="AC3" s="1"/>
      <c r="AD3" s="1"/>
      <c r="AE3" s="1"/>
      <c r="AF3" s="1"/>
      <c r="AG3" s="1"/>
      <c r="AH3" s="1"/>
      <c r="AI3" s="1"/>
      <c r="AJ3" s="1"/>
    </row>
    <row r="4" spans="1:36">
      <c r="B4" s="5" t="s">
        <v>15</v>
      </c>
      <c r="C4" s="6">
        <v>3249</v>
      </c>
      <c r="D4" s="5">
        <v>9</v>
      </c>
      <c r="E4" s="7">
        <v>0.95</v>
      </c>
      <c r="F4" s="8">
        <f t="shared" ref="F4:F6" si="0">AVERAGE(R4:T4)</f>
        <v>123.33333333333333</v>
      </c>
      <c r="G4" s="8">
        <f t="shared" ref="G4:G6" si="1">STDEV(R4:T4)</f>
        <v>28.307831660749507</v>
      </c>
      <c r="H4" s="8">
        <v>1.65</v>
      </c>
      <c r="I4" s="9">
        <v>2</v>
      </c>
      <c r="J4" s="10">
        <f t="shared" ref="J4:J6" si="2">H4*G4*SQRT(I4)</f>
        <v>66.054977102410646</v>
      </c>
      <c r="K4" s="10">
        <f>N4+J4</f>
        <v>97.054977102410646</v>
      </c>
      <c r="L4" s="8">
        <f>K4*D4</f>
        <v>873.49479392169587</v>
      </c>
      <c r="M4" s="10">
        <f>ROUNDUP(L4/42,0)</f>
        <v>21</v>
      </c>
      <c r="N4" s="5">
        <v>31</v>
      </c>
      <c r="O4" s="5">
        <v>74</v>
      </c>
      <c r="P4" s="5">
        <v>114</v>
      </c>
      <c r="Q4" s="5">
        <v>174</v>
      </c>
      <c r="R4" s="5">
        <v>156</v>
      </c>
      <c r="S4" s="5">
        <v>108</v>
      </c>
      <c r="T4" s="5">
        <v>106</v>
      </c>
      <c r="U4" s="8">
        <f>AVERAGE(O4:T4)</f>
        <v>122</v>
      </c>
      <c r="V4" s="11">
        <f>U4*6*C4</f>
        <v>2378268</v>
      </c>
    </row>
    <row r="5" spans="1:36">
      <c r="B5" s="12" t="s">
        <v>16</v>
      </c>
      <c r="C5" s="6">
        <v>7217</v>
      </c>
      <c r="D5" s="5">
        <v>1</v>
      </c>
      <c r="E5" s="13">
        <v>0.9</v>
      </c>
      <c r="F5" s="14">
        <f t="shared" si="0"/>
        <v>77.333333333333329</v>
      </c>
      <c r="G5" s="14">
        <f t="shared" si="1"/>
        <v>87.96211305632292</v>
      </c>
      <c r="H5" s="15">
        <v>1.28</v>
      </c>
      <c r="I5" s="16">
        <v>2</v>
      </c>
      <c r="J5" s="17">
        <f t="shared" si="2"/>
        <v>159.22843297183664</v>
      </c>
      <c r="K5" s="16"/>
      <c r="L5" s="18"/>
      <c r="N5" s="5">
        <v>122</v>
      </c>
      <c r="O5" s="5">
        <v>115</v>
      </c>
      <c r="P5" s="5">
        <v>117</v>
      </c>
      <c r="Q5" s="5">
        <v>58</v>
      </c>
      <c r="R5" s="5">
        <v>56</v>
      </c>
      <c r="S5" s="5">
        <v>2</v>
      </c>
      <c r="T5" s="5">
        <v>174</v>
      </c>
      <c r="U5" s="18"/>
      <c r="V5" s="16"/>
    </row>
    <row r="6" spans="1:36">
      <c r="B6" s="12" t="s">
        <v>17</v>
      </c>
      <c r="C6" s="6">
        <v>4873</v>
      </c>
      <c r="D6" s="5">
        <v>4</v>
      </c>
      <c r="E6" s="13">
        <v>0.9</v>
      </c>
      <c r="F6" s="15">
        <f t="shared" si="0"/>
        <v>142</v>
      </c>
      <c r="G6" s="15">
        <f t="shared" si="1"/>
        <v>46.162755550335163</v>
      </c>
      <c r="H6" s="15">
        <v>1.28</v>
      </c>
      <c r="I6" s="16">
        <v>2</v>
      </c>
      <c r="J6" s="19">
        <f t="shared" si="2"/>
        <v>83.563513569021268</v>
      </c>
      <c r="K6" s="16"/>
      <c r="L6" s="18"/>
      <c r="N6" s="5">
        <v>146</v>
      </c>
      <c r="O6" s="5">
        <v>102</v>
      </c>
      <c r="P6" s="5">
        <v>77</v>
      </c>
      <c r="Q6" s="5">
        <v>140</v>
      </c>
      <c r="R6" s="5">
        <v>192</v>
      </c>
      <c r="S6" s="5">
        <v>133</v>
      </c>
      <c r="T6" s="5">
        <v>101</v>
      </c>
      <c r="U6" s="18"/>
      <c r="V6" s="16"/>
    </row>
    <row r="7" spans="1:36">
      <c r="B7" s="5" t="s">
        <v>18</v>
      </c>
      <c r="C7" s="6">
        <v>4994</v>
      </c>
      <c r="D7" s="5">
        <v>9</v>
      </c>
      <c r="E7" s="16"/>
      <c r="F7" s="16"/>
      <c r="G7" s="15"/>
      <c r="H7" s="15"/>
      <c r="I7" s="16"/>
      <c r="J7" s="17"/>
      <c r="K7" s="16"/>
      <c r="L7" s="18"/>
      <c r="N7" s="5">
        <v>61</v>
      </c>
      <c r="O7" s="5">
        <v>116</v>
      </c>
      <c r="P7" s="5">
        <v>10</v>
      </c>
      <c r="Q7" s="5">
        <v>59</v>
      </c>
      <c r="R7" s="5">
        <v>167</v>
      </c>
      <c r="S7" s="5">
        <v>174</v>
      </c>
      <c r="T7" s="5">
        <v>103</v>
      </c>
      <c r="U7" s="18"/>
      <c r="V7" s="16"/>
    </row>
    <row r="8" spans="1:36">
      <c r="B8" s="12" t="s">
        <v>19</v>
      </c>
      <c r="C8" s="6">
        <v>6773</v>
      </c>
      <c r="D8" s="5">
        <v>2</v>
      </c>
      <c r="E8" s="13">
        <v>0.95</v>
      </c>
      <c r="F8" s="15">
        <f>AVERAGE(R8:T8)</f>
        <v>55</v>
      </c>
      <c r="G8" s="15">
        <f>STDEV(R8:T8)</f>
        <v>70.661163307718056</v>
      </c>
      <c r="H8" s="15">
        <v>1.65</v>
      </c>
      <c r="I8" s="16">
        <v>2</v>
      </c>
      <c r="J8" s="17">
        <f>H8*G8*SQRT(I8)</f>
        <v>164.88445954667773</v>
      </c>
      <c r="K8" s="17">
        <f>N8+J8</f>
        <v>320.8844595466777</v>
      </c>
      <c r="L8" s="20">
        <f>K8*D8</f>
        <v>641.76891909335541</v>
      </c>
      <c r="N8" s="5">
        <v>156</v>
      </c>
      <c r="O8" s="5">
        <v>83</v>
      </c>
      <c r="P8" s="5">
        <v>33</v>
      </c>
      <c r="Q8" s="5">
        <v>160</v>
      </c>
      <c r="R8" s="5">
        <v>136</v>
      </c>
      <c r="S8" s="5">
        <v>6</v>
      </c>
      <c r="T8" s="5">
        <v>23</v>
      </c>
      <c r="U8" s="18"/>
      <c r="V8" s="16"/>
    </row>
    <row r="9" spans="1:36">
      <c r="B9" s="5" t="s">
        <v>20</v>
      </c>
      <c r="C9" s="6">
        <v>6076</v>
      </c>
      <c r="D9" s="5">
        <v>8</v>
      </c>
      <c r="G9" s="21"/>
      <c r="N9" s="5">
        <v>161</v>
      </c>
      <c r="O9" s="5">
        <v>128</v>
      </c>
      <c r="P9" s="5">
        <v>131</v>
      </c>
      <c r="Q9" s="5">
        <v>198</v>
      </c>
      <c r="R9" s="5">
        <v>127</v>
      </c>
      <c r="S9" s="5">
        <v>24</v>
      </c>
      <c r="T9" s="5">
        <v>135</v>
      </c>
      <c r="U9" s="18"/>
      <c r="V9" s="16"/>
    </row>
    <row r="10" spans="1:36">
      <c r="B10" s="12" t="s">
        <v>21</v>
      </c>
      <c r="C10" s="22">
        <v>7636</v>
      </c>
      <c r="D10" s="5">
        <v>5</v>
      </c>
      <c r="N10" s="5">
        <v>181</v>
      </c>
      <c r="O10" s="5">
        <v>25</v>
      </c>
      <c r="P10" s="5">
        <v>162</v>
      </c>
      <c r="Q10" s="5">
        <v>85</v>
      </c>
      <c r="R10" s="5">
        <v>179</v>
      </c>
      <c r="S10" s="5">
        <v>10</v>
      </c>
      <c r="T10" s="5">
        <v>108</v>
      </c>
      <c r="U10" s="20">
        <f>AVERAGE(O10:T10)</f>
        <v>94.833333333333329</v>
      </c>
      <c r="V10" s="23">
        <f>U10*6*C10</f>
        <v>4344884</v>
      </c>
    </row>
    <row r="11" spans="1:36">
      <c r="B11" s="5" t="s">
        <v>22</v>
      </c>
      <c r="C11" s="6">
        <v>2458</v>
      </c>
      <c r="D11" s="5">
        <v>5</v>
      </c>
      <c r="N11" s="5">
        <v>175</v>
      </c>
      <c r="O11" s="5">
        <v>139</v>
      </c>
      <c r="P11" s="5">
        <v>61</v>
      </c>
      <c r="Q11" s="5">
        <v>164</v>
      </c>
      <c r="R11" s="5">
        <v>157</v>
      </c>
      <c r="S11" s="5">
        <v>152</v>
      </c>
      <c r="T11" s="5">
        <v>130</v>
      </c>
      <c r="U11" s="18"/>
      <c r="V11" s="16"/>
    </row>
    <row r="12" spans="1:36">
      <c r="B12" s="5" t="s">
        <v>23</v>
      </c>
      <c r="C12" s="6">
        <v>1577</v>
      </c>
      <c r="D12" s="5">
        <v>12</v>
      </c>
      <c r="N12" s="5">
        <v>132</v>
      </c>
      <c r="O12" s="5">
        <v>117</v>
      </c>
      <c r="P12" s="5">
        <v>132</v>
      </c>
      <c r="Q12" s="5">
        <v>123</v>
      </c>
      <c r="R12" s="5">
        <v>27</v>
      </c>
      <c r="S12" s="5">
        <v>131</v>
      </c>
      <c r="T12" s="5">
        <v>81</v>
      </c>
      <c r="U12" s="18">
        <f>AVERAGE(O12:T12)</f>
        <v>101.83333333333333</v>
      </c>
      <c r="V12" s="24">
        <f>U12*6*C12</f>
        <v>963547</v>
      </c>
    </row>
    <row r="13" spans="1:36">
      <c r="B13" s="5" t="s">
        <v>24</v>
      </c>
      <c r="C13" s="6">
        <v>2070</v>
      </c>
      <c r="D13" s="5">
        <v>5</v>
      </c>
      <c r="N13" s="5">
        <v>21</v>
      </c>
      <c r="O13" s="5">
        <v>184</v>
      </c>
      <c r="P13" s="5">
        <v>50</v>
      </c>
      <c r="Q13" s="5">
        <v>58</v>
      </c>
      <c r="R13" s="5">
        <v>89</v>
      </c>
      <c r="S13" s="5">
        <v>57</v>
      </c>
      <c r="T13" s="5">
        <v>14</v>
      </c>
      <c r="U13" s="18"/>
      <c r="V13" s="16"/>
    </row>
    <row r="14" spans="1:36">
      <c r="B14" s="5" t="s">
        <v>25</v>
      </c>
      <c r="C14" s="6">
        <v>1154</v>
      </c>
      <c r="D14" s="5">
        <v>11</v>
      </c>
      <c r="N14" s="5">
        <v>166</v>
      </c>
      <c r="O14" s="5">
        <v>104</v>
      </c>
      <c r="P14" s="5">
        <v>1</v>
      </c>
      <c r="Q14" s="5">
        <v>2</v>
      </c>
      <c r="R14" s="5">
        <v>70</v>
      </c>
      <c r="S14" s="5">
        <v>22</v>
      </c>
      <c r="T14" s="5">
        <v>85</v>
      </c>
      <c r="U14" s="18"/>
      <c r="V14" s="16"/>
    </row>
    <row r="15" spans="1:36">
      <c r="B15" s="5" t="s">
        <v>26</v>
      </c>
      <c r="C15" s="6">
        <v>8113</v>
      </c>
      <c r="D15" s="5">
        <v>3</v>
      </c>
      <c r="N15" s="5">
        <v>123</v>
      </c>
      <c r="O15" s="5">
        <v>11</v>
      </c>
      <c r="P15" s="5">
        <v>165</v>
      </c>
      <c r="Q15" s="5">
        <v>141</v>
      </c>
      <c r="R15" s="5">
        <v>148</v>
      </c>
      <c r="S15" s="5">
        <v>61</v>
      </c>
      <c r="T15" s="5">
        <v>51</v>
      </c>
      <c r="U15" s="18"/>
      <c r="V15" s="16"/>
    </row>
    <row r="16" spans="1:36">
      <c r="B16" s="5" t="s">
        <v>27</v>
      </c>
      <c r="C16" s="6">
        <v>2148</v>
      </c>
      <c r="D16" s="5">
        <v>5</v>
      </c>
      <c r="N16" s="5">
        <v>122</v>
      </c>
      <c r="O16" s="5">
        <v>84</v>
      </c>
      <c r="P16" s="5">
        <v>161</v>
      </c>
      <c r="Q16" s="5">
        <v>197</v>
      </c>
      <c r="R16" s="5">
        <v>145</v>
      </c>
      <c r="S16" s="5">
        <v>115</v>
      </c>
      <c r="T16" s="5">
        <v>196</v>
      </c>
      <c r="U16" s="18">
        <f>AVERAGE(O16:T16)</f>
        <v>149.66666666666666</v>
      </c>
      <c r="V16" s="24">
        <f>U16*6*C16</f>
        <v>1928904</v>
      </c>
    </row>
    <row r="17" spans="2:20">
      <c r="B17" s="5" t="s">
        <v>28</v>
      </c>
      <c r="C17" s="6">
        <v>4681</v>
      </c>
      <c r="D17" s="5">
        <v>2</v>
      </c>
      <c r="N17" s="5">
        <v>164</v>
      </c>
      <c r="O17" s="5">
        <v>20</v>
      </c>
      <c r="P17" s="5">
        <v>163</v>
      </c>
      <c r="Q17" s="5">
        <v>103</v>
      </c>
      <c r="R17" s="5">
        <v>160</v>
      </c>
      <c r="S17" s="5">
        <v>25</v>
      </c>
      <c r="T17" s="5">
        <v>34</v>
      </c>
    </row>
    <row r="18" spans="2:20">
      <c r="B18" s="5" t="s">
        <v>29</v>
      </c>
      <c r="C18" s="6">
        <v>4260</v>
      </c>
      <c r="D18" s="5">
        <v>8</v>
      </c>
      <c r="N18" s="5">
        <v>8</v>
      </c>
      <c r="O18" s="5">
        <v>122</v>
      </c>
      <c r="P18" s="5">
        <v>88</v>
      </c>
      <c r="Q18" s="5">
        <v>142</v>
      </c>
      <c r="R18" s="5">
        <v>158</v>
      </c>
      <c r="S18" s="5">
        <v>157</v>
      </c>
      <c r="T18" s="5">
        <v>22</v>
      </c>
    </row>
    <row r="19" spans="2:20">
      <c r="B19" s="5" t="s">
        <v>30</v>
      </c>
      <c r="C19" s="6">
        <v>9255</v>
      </c>
      <c r="D19" s="5">
        <v>1</v>
      </c>
      <c r="N19" s="5">
        <v>72</v>
      </c>
      <c r="O19" s="5">
        <v>141</v>
      </c>
      <c r="P19" s="5">
        <v>29</v>
      </c>
      <c r="Q19" s="5">
        <v>183</v>
      </c>
      <c r="R19" s="5">
        <v>106</v>
      </c>
      <c r="S19" s="5">
        <v>46</v>
      </c>
      <c r="T19" s="5">
        <v>34</v>
      </c>
    </row>
    <row r="20" spans="2:20">
      <c r="B20" s="5" t="s">
        <v>31</v>
      </c>
      <c r="C20" s="6">
        <v>6796</v>
      </c>
      <c r="D20" s="5">
        <v>3</v>
      </c>
      <c r="N20" s="5">
        <v>64</v>
      </c>
      <c r="O20" s="5">
        <v>63</v>
      </c>
      <c r="P20" s="5">
        <v>98</v>
      </c>
      <c r="Q20" s="5">
        <v>57</v>
      </c>
      <c r="R20" s="5">
        <v>163</v>
      </c>
      <c r="S20" s="5">
        <v>160</v>
      </c>
      <c r="T20" s="5">
        <v>100</v>
      </c>
    </row>
    <row r="21" spans="2:20">
      <c r="B21" s="5" t="s">
        <v>32</v>
      </c>
      <c r="C21" s="6">
        <v>9938</v>
      </c>
      <c r="D21" s="5">
        <v>9</v>
      </c>
      <c r="N21" s="5">
        <v>95</v>
      </c>
      <c r="O21" s="5">
        <v>5</v>
      </c>
      <c r="P21" s="5">
        <v>196</v>
      </c>
      <c r="Q21" s="5">
        <v>197</v>
      </c>
      <c r="R21" s="5">
        <v>3</v>
      </c>
      <c r="S21" s="5">
        <v>53</v>
      </c>
      <c r="T21" s="5">
        <v>114</v>
      </c>
    </row>
    <row r="22" spans="2:20">
      <c r="B22" s="5" t="s">
        <v>33</v>
      </c>
      <c r="C22" s="6">
        <v>2367</v>
      </c>
      <c r="D22" s="5">
        <v>11</v>
      </c>
      <c r="N22" s="5">
        <v>28</v>
      </c>
      <c r="O22" s="5">
        <v>1</v>
      </c>
      <c r="P22" s="5">
        <v>98</v>
      </c>
      <c r="Q22" s="5">
        <v>116</v>
      </c>
      <c r="R22" s="5">
        <v>45</v>
      </c>
      <c r="S22" s="5">
        <v>180</v>
      </c>
      <c r="T22" s="5">
        <v>163</v>
      </c>
    </row>
    <row r="23" spans="2:20">
      <c r="B23" s="5" t="s">
        <v>34</v>
      </c>
      <c r="C23" s="6">
        <v>1414</v>
      </c>
      <c r="D23" s="5">
        <v>6</v>
      </c>
      <c r="N23" s="5">
        <v>90</v>
      </c>
      <c r="O23" s="5">
        <v>175</v>
      </c>
      <c r="P23" s="5">
        <v>1</v>
      </c>
      <c r="Q23" s="5">
        <v>195</v>
      </c>
      <c r="R23" s="5">
        <v>41</v>
      </c>
      <c r="S23" s="5">
        <v>134</v>
      </c>
      <c r="T23" s="5">
        <v>51</v>
      </c>
    </row>
    <row r="24" spans="2:20">
      <c r="B24" s="5" t="s">
        <v>35</v>
      </c>
      <c r="C24" s="6">
        <v>4147</v>
      </c>
      <c r="D24" s="5">
        <v>1</v>
      </c>
      <c r="N24" s="5">
        <v>165</v>
      </c>
      <c r="O24" s="5">
        <v>151</v>
      </c>
      <c r="P24" s="5">
        <v>183</v>
      </c>
      <c r="Q24" s="5">
        <v>117</v>
      </c>
      <c r="R24" s="5">
        <v>30</v>
      </c>
      <c r="S24" s="5">
        <v>181</v>
      </c>
      <c r="T24" s="5">
        <v>14</v>
      </c>
    </row>
    <row r="25" spans="2:20">
      <c r="B25" s="5" t="s">
        <v>36</v>
      </c>
      <c r="C25" s="6">
        <v>6178</v>
      </c>
      <c r="D25" s="5">
        <v>5</v>
      </c>
      <c r="N25" s="5">
        <v>135</v>
      </c>
      <c r="O25" s="5">
        <v>5</v>
      </c>
      <c r="P25" s="5">
        <v>157</v>
      </c>
      <c r="Q25" s="5">
        <v>92</v>
      </c>
      <c r="R25" s="5">
        <v>90</v>
      </c>
      <c r="S25" s="5">
        <v>38</v>
      </c>
      <c r="T25" s="5">
        <v>73</v>
      </c>
    </row>
    <row r="26" spans="2:20">
      <c r="B26" s="5" t="s">
        <v>37</v>
      </c>
      <c r="C26" s="6">
        <v>4490</v>
      </c>
      <c r="D26" s="5">
        <v>5</v>
      </c>
      <c r="N26" s="5">
        <v>13</v>
      </c>
      <c r="O26" s="5">
        <v>35</v>
      </c>
      <c r="P26" s="5">
        <v>120</v>
      </c>
      <c r="Q26" s="5">
        <v>190</v>
      </c>
      <c r="R26" s="5">
        <v>45</v>
      </c>
      <c r="S26" s="5">
        <v>43</v>
      </c>
      <c r="T26" s="5">
        <v>122</v>
      </c>
    </row>
    <row r="27" spans="2:20">
      <c r="B27" s="5" t="s">
        <v>38</v>
      </c>
      <c r="C27" s="6">
        <v>1993</v>
      </c>
      <c r="D27" s="5">
        <v>7</v>
      </c>
      <c r="N27" s="5">
        <v>22</v>
      </c>
      <c r="O27" s="5">
        <v>86</v>
      </c>
      <c r="P27" s="5">
        <v>44</v>
      </c>
      <c r="Q27" s="5">
        <v>54</v>
      </c>
      <c r="R27" s="5">
        <v>171</v>
      </c>
      <c r="S27" s="5">
        <v>89</v>
      </c>
      <c r="T27" s="5">
        <v>6</v>
      </c>
    </row>
    <row r="28" spans="2:20">
      <c r="B28" s="12" t="s">
        <v>39</v>
      </c>
      <c r="C28" s="6">
        <v>1554</v>
      </c>
      <c r="D28" s="5">
        <v>12</v>
      </c>
      <c r="F28" s="25">
        <f>AVERAGE(R28:T28)</f>
        <v>32.666666666666664</v>
      </c>
      <c r="N28" s="12">
        <v>133</v>
      </c>
      <c r="O28" s="5">
        <v>158</v>
      </c>
      <c r="P28" s="5">
        <v>154</v>
      </c>
      <c r="Q28" s="5">
        <v>21</v>
      </c>
      <c r="R28" s="5">
        <v>50</v>
      </c>
      <c r="S28" s="5">
        <v>33</v>
      </c>
      <c r="T28" s="5">
        <v>15</v>
      </c>
    </row>
    <row r="29" spans="2:20">
      <c r="B29" s="5" t="s">
        <v>40</v>
      </c>
      <c r="C29" s="6">
        <v>7948</v>
      </c>
      <c r="D29" s="5">
        <v>5</v>
      </c>
      <c r="N29" s="5">
        <v>42</v>
      </c>
      <c r="O29" s="5">
        <v>161</v>
      </c>
      <c r="P29" s="5">
        <v>45</v>
      </c>
      <c r="Q29" s="5">
        <v>70</v>
      </c>
      <c r="R29" s="5">
        <v>32</v>
      </c>
      <c r="S29" s="5">
        <v>180</v>
      </c>
      <c r="T29" s="5">
        <v>137</v>
      </c>
    </row>
    <row r="30" spans="2:20">
      <c r="B30" s="5" t="s">
        <v>41</v>
      </c>
      <c r="C30" s="6">
        <v>7746</v>
      </c>
      <c r="D30" s="5">
        <v>4</v>
      </c>
      <c r="N30" s="5">
        <v>136</v>
      </c>
      <c r="O30" s="5">
        <v>55</v>
      </c>
      <c r="P30" s="5">
        <v>174</v>
      </c>
      <c r="Q30" s="5">
        <v>75</v>
      </c>
      <c r="R30" s="5">
        <v>84</v>
      </c>
      <c r="S30" s="5">
        <v>196</v>
      </c>
      <c r="T30" s="5">
        <v>11</v>
      </c>
    </row>
    <row r="31" spans="2:20">
      <c r="B31" s="5" t="s">
        <v>42</v>
      </c>
      <c r="C31" s="6">
        <v>6041</v>
      </c>
      <c r="D31" s="5">
        <v>9</v>
      </c>
      <c r="N31" s="5">
        <v>184</v>
      </c>
      <c r="O31" s="5">
        <v>122</v>
      </c>
      <c r="P31" s="5">
        <v>170</v>
      </c>
      <c r="Q31" s="5">
        <v>28</v>
      </c>
      <c r="R31" s="5">
        <v>74</v>
      </c>
      <c r="S31" s="5">
        <v>90</v>
      </c>
      <c r="T31" s="5">
        <v>37</v>
      </c>
    </row>
    <row r="32" spans="2:20">
      <c r="B32" s="5" t="s">
        <v>43</v>
      </c>
      <c r="C32" s="6">
        <v>2260</v>
      </c>
      <c r="D32" s="5">
        <v>7</v>
      </c>
      <c r="N32" s="5">
        <v>0</v>
      </c>
      <c r="O32" s="5">
        <v>72</v>
      </c>
      <c r="P32" s="5">
        <v>30</v>
      </c>
      <c r="Q32" s="5">
        <v>81</v>
      </c>
      <c r="R32" s="5">
        <v>180</v>
      </c>
      <c r="S32" s="5">
        <v>177</v>
      </c>
      <c r="T32" s="5">
        <v>52</v>
      </c>
    </row>
    <row r="33" spans="2:20">
      <c r="B33" s="5" t="s">
        <v>44</v>
      </c>
      <c r="C33" s="6">
        <v>7561</v>
      </c>
      <c r="D33" s="5">
        <v>11</v>
      </c>
      <c r="N33" s="5">
        <v>3</v>
      </c>
      <c r="O33" s="5">
        <v>111</v>
      </c>
      <c r="P33" s="5">
        <v>76</v>
      </c>
      <c r="Q33" s="5">
        <v>169</v>
      </c>
      <c r="R33" s="5">
        <v>168</v>
      </c>
      <c r="S33" s="5">
        <v>15</v>
      </c>
      <c r="T33" s="5">
        <v>184</v>
      </c>
    </row>
    <row r="34" spans="2:20">
      <c r="B34" s="5" t="s">
        <v>45</v>
      </c>
      <c r="C34" s="6">
        <v>4298</v>
      </c>
      <c r="D34" s="5">
        <v>12</v>
      </c>
      <c r="N34" s="5">
        <v>173</v>
      </c>
      <c r="O34" s="5">
        <v>10</v>
      </c>
      <c r="P34" s="5">
        <v>148</v>
      </c>
      <c r="Q34" s="5">
        <v>1</v>
      </c>
      <c r="R34" s="5">
        <v>177</v>
      </c>
      <c r="S34" s="5">
        <v>92</v>
      </c>
      <c r="T34" s="5">
        <v>142</v>
      </c>
    </row>
    <row r="35" spans="2:20">
      <c r="B35" s="5" t="s">
        <v>46</v>
      </c>
      <c r="C35" s="6">
        <v>9726</v>
      </c>
      <c r="D35" s="5">
        <v>2</v>
      </c>
      <c r="N35" s="5">
        <v>50</v>
      </c>
      <c r="O35" s="5">
        <v>185</v>
      </c>
      <c r="P35" s="5">
        <v>117</v>
      </c>
      <c r="Q35" s="5">
        <v>62</v>
      </c>
      <c r="R35" s="5">
        <v>149</v>
      </c>
      <c r="S35" s="5">
        <v>92</v>
      </c>
      <c r="T35" s="5">
        <v>124</v>
      </c>
    </row>
    <row r="36" spans="2:20">
      <c r="B36" s="5" t="s">
        <v>47</v>
      </c>
      <c r="C36" s="6">
        <v>7591</v>
      </c>
      <c r="D36" s="5">
        <v>2</v>
      </c>
      <c r="N36" s="5">
        <v>84</v>
      </c>
      <c r="O36" s="5">
        <v>110</v>
      </c>
      <c r="P36" s="5">
        <v>187</v>
      </c>
      <c r="Q36" s="5">
        <v>44</v>
      </c>
      <c r="R36" s="5">
        <v>101</v>
      </c>
      <c r="S36" s="5">
        <v>3</v>
      </c>
      <c r="T36" s="5">
        <v>28</v>
      </c>
    </row>
    <row r="37" spans="2:20">
      <c r="B37" s="5" t="s">
        <v>48</v>
      </c>
      <c r="C37" s="6">
        <v>7113</v>
      </c>
      <c r="D37" s="5">
        <v>8</v>
      </c>
      <c r="N37" s="5">
        <v>152</v>
      </c>
      <c r="O37" s="5">
        <v>4</v>
      </c>
      <c r="P37" s="5">
        <v>8</v>
      </c>
      <c r="Q37" s="5">
        <v>28</v>
      </c>
      <c r="R37" s="5">
        <v>164</v>
      </c>
      <c r="S37" s="5">
        <v>110</v>
      </c>
      <c r="T37" s="5">
        <v>176</v>
      </c>
    </row>
    <row r="38" spans="2:20">
      <c r="B38" s="5" t="s">
        <v>49</v>
      </c>
      <c r="C38" s="6">
        <v>3083</v>
      </c>
      <c r="D38" s="5">
        <v>9</v>
      </c>
      <c r="N38" s="5">
        <v>63</v>
      </c>
      <c r="O38" s="5">
        <v>73</v>
      </c>
      <c r="P38" s="5">
        <v>175</v>
      </c>
      <c r="Q38" s="5">
        <v>3</v>
      </c>
      <c r="R38" s="5">
        <v>106</v>
      </c>
      <c r="S38" s="5">
        <v>105</v>
      </c>
      <c r="T38" s="5">
        <v>17</v>
      </c>
    </row>
    <row r="39" spans="2:20">
      <c r="B39" s="5" t="s">
        <v>50</v>
      </c>
      <c r="C39" s="6">
        <v>9299</v>
      </c>
      <c r="D39" s="5">
        <v>12</v>
      </c>
      <c r="N39" s="5">
        <v>98</v>
      </c>
      <c r="O39" s="5">
        <v>96</v>
      </c>
      <c r="P39" s="5">
        <v>94</v>
      </c>
      <c r="Q39" s="5">
        <v>135</v>
      </c>
      <c r="R39" s="5">
        <v>191</v>
      </c>
      <c r="S39" s="5">
        <v>68</v>
      </c>
      <c r="T39" s="5">
        <v>173</v>
      </c>
    </row>
    <row r="40" spans="2:20">
      <c r="B40" s="5" t="s">
        <v>51</v>
      </c>
      <c r="C40" s="6">
        <v>7951</v>
      </c>
      <c r="D40" s="5">
        <v>9</v>
      </c>
      <c r="N40" s="5">
        <v>184</v>
      </c>
      <c r="O40" s="5">
        <v>18</v>
      </c>
      <c r="P40" s="5">
        <v>99</v>
      </c>
      <c r="Q40" s="5">
        <v>3</v>
      </c>
      <c r="R40" s="5">
        <v>9</v>
      </c>
      <c r="S40" s="5">
        <v>195</v>
      </c>
      <c r="T40" s="5">
        <v>34</v>
      </c>
    </row>
    <row r="41" spans="2:20">
      <c r="B41" s="5" t="s">
        <v>52</v>
      </c>
      <c r="C41" s="6">
        <v>1277</v>
      </c>
      <c r="D41" s="5">
        <v>1</v>
      </c>
      <c r="N41" s="5">
        <v>71</v>
      </c>
      <c r="O41" s="5">
        <v>35</v>
      </c>
      <c r="P41" s="5">
        <v>186</v>
      </c>
      <c r="Q41" s="5">
        <v>13</v>
      </c>
      <c r="R41" s="5">
        <v>98</v>
      </c>
      <c r="S41" s="5">
        <v>181</v>
      </c>
      <c r="T41" s="5">
        <v>78</v>
      </c>
    </row>
    <row r="42" spans="2:20">
      <c r="B42" s="5" t="s">
        <v>53</v>
      </c>
      <c r="C42" s="6">
        <v>5592</v>
      </c>
      <c r="D42" s="5">
        <v>6</v>
      </c>
      <c r="N42" s="5">
        <v>152</v>
      </c>
      <c r="O42" s="5">
        <v>195</v>
      </c>
      <c r="P42" s="5">
        <v>118</v>
      </c>
      <c r="Q42" s="5">
        <v>60</v>
      </c>
      <c r="R42" s="5">
        <v>118</v>
      </c>
      <c r="S42" s="5">
        <v>174</v>
      </c>
      <c r="T42" s="5">
        <v>176</v>
      </c>
    </row>
    <row r="43" spans="2:20">
      <c r="B43" s="5" t="s">
        <v>54</v>
      </c>
      <c r="C43" s="6">
        <v>4587</v>
      </c>
      <c r="D43" s="5">
        <v>5</v>
      </c>
      <c r="N43" s="5">
        <v>50</v>
      </c>
      <c r="O43" s="5">
        <v>0</v>
      </c>
      <c r="P43" s="5">
        <v>68</v>
      </c>
      <c r="Q43" s="5">
        <v>106</v>
      </c>
      <c r="R43" s="5">
        <v>107</v>
      </c>
      <c r="S43" s="5">
        <v>127</v>
      </c>
      <c r="T43" s="5">
        <v>55</v>
      </c>
    </row>
    <row r="44" spans="2:20">
      <c r="B44" s="5" t="s">
        <v>55</v>
      </c>
      <c r="C44" s="6">
        <v>2128</v>
      </c>
      <c r="D44" s="5">
        <v>1</v>
      </c>
      <c r="N44" s="5">
        <v>20</v>
      </c>
      <c r="O44" s="5">
        <v>25</v>
      </c>
      <c r="P44" s="5">
        <v>27</v>
      </c>
      <c r="Q44" s="5">
        <v>73</v>
      </c>
      <c r="R44" s="5">
        <v>182</v>
      </c>
      <c r="S44" s="5">
        <v>155</v>
      </c>
      <c r="T44" s="5">
        <v>77</v>
      </c>
    </row>
    <row r="45" spans="2:20">
      <c r="B45" s="5" t="s">
        <v>56</v>
      </c>
      <c r="C45" s="6">
        <v>3294</v>
      </c>
      <c r="D45" s="5">
        <v>1</v>
      </c>
      <c r="N45" s="5">
        <v>148</v>
      </c>
      <c r="O45" s="5">
        <v>112</v>
      </c>
      <c r="P45" s="5">
        <v>10</v>
      </c>
      <c r="Q45" s="5">
        <v>131</v>
      </c>
      <c r="R45" s="5">
        <v>141</v>
      </c>
      <c r="S45" s="5">
        <v>151</v>
      </c>
      <c r="T45" s="5">
        <v>27</v>
      </c>
    </row>
    <row r="46" spans="2:20">
      <c r="B46" s="5" t="s">
        <v>57</v>
      </c>
      <c r="C46" s="6">
        <v>7714</v>
      </c>
      <c r="D46" s="5">
        <v>4</v>
      </c>
      <c r="N46" s="5">
        <v>44</v>
      </c>
      <c r="O46" s="5">
        <v>36</v>
      </c>
      <c r="P46" s="5">
        <v>126</v>
      </c>
      <c r="Q46" s="5">
        <v>61</v>
      </c>
      <c r="R46" s="5">
        <v>43</v>
      </c>
      <c r="S46" s="5">
        <v>80</v>
      </c>
      <c r="T46" s="5">
        <v>173</v>
      </c>
    </row>
    <row r="47" spans="2:20">
      <c r="B47" s="5" t="s">
        <v>58</v>
      </c>
      <c r="C47" s="6">
        <v>1115</v>
      </c>
      <c r="D47" s="5">
        <v>3</v>
      </c>
      <c r="N47" s="5">
        <v>60</v>
      </c>
      <c r="O47" s="5">
        <v>127</v>
      </c>
      <c r="P47" s="5">
        <v>21</v>
      </c>
      <c r="Q47" s="5">
        <v>63</v>
      </c>
      <c r="R47" s="5">
        <v>46</v>
      </c>
      <c r="S47" s="5">
        <v>122</v>
      </c>
      <c r="T47" s="5">
        <v>2</v>
      </c>
    </row>
    <row r="48" spans="2:20">
      <c r="B48" s="5" t="s">
        <v>59</v>
      </c>
      <c r="C48" s="6">
        <v>6248</v>
      </c>
      <c r="D48" s="5">
        <v>7</v>
      </c>
      <c r="N48" s="5">
        <v>93</v>
      </c>
      <c r="O48" s="5">
        <v>97</v>
      </c>
      <c r="P48" s="5">
        <v>97</v>
      </c>
      <c r="Q48" s="5">
        <v>14</v>
      </c>
      <c r="R48" s="5">
        <v>179</v>
      </c>
      <c r="S48" s="5">
        <v>124</v>
      </c>
      <c r="T48" s="5">
        <v>137</v>
      </c>
    </row>
    <row r="49" spans="2:20">
      <c r="B49" s="5" t="s">
        <v>60</v>
      </c>
      <c r="C49" s="6">
        <v>6959</v>
      </c>
      <c r="D49" s="5">
        <v>5</v>
      </c>
      <c r="N49" s="5">
        <v>199</v>
      </c>
      <c r="O49" s="5">
        <v>10</v>
      </c>
      <c r="P49" s="5">
        <v>48</v>
      </c>
      <c r="Q49" s="5">
        <v>31</v>
      </c>
      <c r="R49" s="5">
        <v>121</v>
      </c>
      <c r="S49" s="5">
        <v>155</v>
      </c>
      <c r="T49" s="5">
        <v>125</v>
      </c>
    </row>
    <row r="50" spans="2:20">
      <c r="B50" s="5" t="s">
        <v>61</v>
      </c>
      <c r="C50" s="6">
        <v>1871</v>
      </c>
      <c r="D50" s="5">
        <v>9</v>
      </c>
      <c r="N50" s="5">
        <v>175</v>
      </c>
      <c r="O50" s="5">
        <v>38</v>
      </c>
      <c r="P50" s="5">
        <v>80</v>
      </c>
      <c r="Q50" s="5">
        <v>101</v>
      </c>
      <c r="R50" s="5">
        <v>21</v>
      </c>
      <c r="S50" s="5">
        <v>3</v>
      </c>
      <c r="T50" s="5">
        <v>71</v>
      </c>
    </row>
    <row r="51" spans="2:20">
      <c r="B51" s="5" t="s">
        <v>62</v>
      </c>
      <c r="C51" s="6">
        <v>2973</v>
      </c>
      <c r="D51" s="5">
        <v>8</v>
      </c>
      <c r="N51" s="5">
        <v>180</v>
      </c>
      <c r="O51" s="5">
        <v>88</v>
      </c>
      <c r="P51" s="5">
        <v>180</v>
      </c>
      <c r="Q51" s="5">
        <v>120</v>
      </c>
      <c r="R51" s="5">
        <v>65</v>
      </c>
      <c r="S51" s="5">
        <v>141</v>
      </c>
      <c r="T51" s="5">
        <v>20</v>
      </c>
    </row>
    <row r="52" spans="2:20">
      <c r="B52" s="5" t="s">
        <v>63</v>
      </c>
      <c r="C52" s="6">
        <v>6739</v>
      </c>
      <c r="D52" s="5">
        <v>9</v>
      </c>
      <c r="N52" s="5">
        <v>35</v>
      </c>
      <c r="O52" s="5">
        <v>79</v>
      </c>
      <c r="P52" s="5">
        <v>150</v>
      </c>
      <c r="Q52" s="5">
        <v>74</v>
      </c>
      <c r="R52" s="5">
        <v>106</v>
      </c>
      <c r="S52" s="5">
        <v>63</v>
      </c>
      <c r="T52" s="5">
        <v>68</v>
      </c>
    </row>
    <row r="53" spans="2:20">
      <c r="B53" s="5" t="s">
        <v>64</v>
      </c>
      <c r="C53" s="6">
        <v>2258</v>
      </c>
      <c r="D53" s="5">
        <v>9</v>
      </c>
      <c r="N53" s="5">
        <v>135</v>
      </c>
      <c r="O53" s="5">
        <v>127</v>
      </c>
      <c r="P53" s="5">
        <v>13</v>
      </c>
      <c r="Q53" s="5">
        <v>165</v>
      </c>
      <c r="R53" s="5">
        <v>50</v>
      </c>
      <c r="S53" s="5">
        <v>147</v>
      </c>
      <c r="T53" s="5">
        <v>6</v>
      </c>
    </row>
    <row r="54" spans="2:20">
      <c r="B54" s="5" t="s">
        <v>65</v>
      </c>
      <c r="C54" s="6">
        <v>3735</v>
      </c>
      <c r="D54" s="5">
        <v>8</v>
      </c>
      <c r="N54" s="5">
        <v>151</v>
      </c>
      <c r="O54" s="5">
        <v>21</v>
      </c>
      <c r="P54" s="5">
        <v>58</v>
      </c>
      <c r="Q54" s="5">
        <v>172</v>
      </c>
      <c r="R54" s="5">
        <v>48</v>
      </c>
      <c r="S54" s="5">
        <v>108</v>
      </c>
      <c r="T54" s="5">
        <v>146</v>
      </c>
    </row>
    <row r="55" spans="2:20">
      <c r="B55" s="5" t="s">
        <v>66</v>
      </c>
      <c r="C55" s="6">
        <v>1465</v>
      </c>
      <c r="D55" s="5">
        <v>12</v>
      </c>
      <c r="N55" s="5">
        <v>49</v>
      </c>
      <c r="O55" s="5">
        <v>166</v>
      </c>
      <c r="P55" s="5">
        <v>69</v>
      </c>
      <c r="Q55" s="5">
        <v>133</v>
      </c>
      <c r="R55" s="5">
        <v>95</v>
      </c>
      <c r="S55" s="5">
        <v>132</v>
      </c>
      <c r="T55" s="5">
        <v>22</v>
      </c>
    </row>
    <row r="56" spans="2:20">
      <c r="B56" s="5" t="s">
        <v>67</v>
      </c>
      <c r="C56" s="6">
        <v>1846</v>
      </c>
      <c r="D56" s="5">
        <v>8</v>
      </c>
      <c r="N56" s="5">
        <v>151</v>
      </c>
      <c r="O56" s="5">
        <v>2</v>
      </c>
      <c r="P56" s="5">
        <v>157</v>
      </c>
      <c r="Q56" s="5">
        <v>61</v>
      </c>
      <c r="R56" s="5">
        <v>115</v>
      </c>
      <c r="S56" s="5">
        <v>170</v>
      </c>
      <c r="T56" s="5">
        <v>134</v>
      </c>
    </row>
    <row r="57" spans="2:20">
      <c r="B57" s="5" t="s">
        <v>68</v>
      </c>
      <c r="C57" s="6">
        <v>1540</v>
      </c>
      <c r="D57" s="5">
        <v>10</v>
      </c>
      <c r="N57" s="5">
        <v>120</v>
      </c>
      <c r="O57" s="5">
        <v>6</v>
      </c>
      <c r="P57" s="5">
        <v>93</v>
      </c>
      <c r="Q57" s="5">
        <v>14</v>
      </c>
      <c r="R57" s="5">
        <v>156</v>
      </c>
      <c r="S57" s="5">
        <v>30</v>
      </c>
      <c r="T57" s="5">
        <v>35</v>
      </c>
    </row>
    <row r="58" spans="2:20">
      <c r="B58" s="5" t="s">
        <v>69</v>
      </c>
      <c r="C58" s="6">
        <v>1325</v>
      </c>
      <c r="D58" s="5">
        <v>5</v>
      </c>
      <c r="N58" s="5">
        <v>110</v>
      </c>
      <c r="O58" s="5">
        <v>130</v>
      </c>
      <c r="P58" s="5">
        <v>9</v>
      </c>
      <c r="Q58" s="5">
        <v>32</v>
      </c>
      <c r="R58" s="5">
        <v>110</v>
      </c>
      <c r="S58" s="5">
        <v>149</v>
      </c>
      <c r="T58" s="5">
        <v>199</v>
      </c>
    </row>
    <row r="59" spans="2:20">
      <c r="B59" s="5" t="s">
        <v>70</v>
      </c>
      <c r="C59" s="6">
        <v>1385</v>
      </c>
      <c r="D59" s="5">
        <v>6</v>
      </c>
      <c r="N59" s="5">
        <v>90</v>
      </c>
      <c r="O59" s="5">
        <v>71</v>
      </c>
      <c r="P59" s="5">
        <v>142</v>
      </c>
      <c r="Q59" s="5">
        <v>35</v>
      </c>
      <c r="R59" s="5">
        <v>95</v>
      </c>
      <c r="S59" s="5">
        <v>50</v>
      </c>
      <c r="T59" s="5">
        <v>109</v>
      </c>
    </row>
    <row r="60" spans="2:20">
      <c r="B60" s="5" t="s">
        <v>71</v>
      </c>
      <c r="C60" s="6">
        <v>6547</v>
      </c>
      <c r="D60" s="5">
        <v>6</v>
      </c>
      <c r="N60" s="5">
        <v>124</v>
      </c>
      <c r="O60" s="5">
        <v>151</v>
      </c>
      <c r="P60" s="5">
        <v>100</v>
      </c>
      <c r="Q60" s="5">
        <v>151</v>
      </c>
      <c r="R60" s="5">
        <v>136</v>
      </c>
      <c r="S60" s="5">
        <v>200</v>
      </c>
      <c r="T60" s="5">
        <v>82</v>
      </c>
    </row>
    <row r="61" spans="2:20">
      <c r="B61" s="5" t="s">
        <v>72</v>
      </c>
      <c r="C61" s="6">
        <v>8753</v>
      </c>
      <c r="D61" s="5">
        <v>1</v>
      </c>
      <c r="N61" s="5">
        <v>94</v>
      </c>
      <c r="O61" s="5">
        <v>100</v>
      </c>
      <c r="P61" s="5">
        <v>168</v>
      </c>
      <c r="Q61" s="5">
        <v>47</v>
      </c>
      <c r="R61" s="5">
        <v>68</v>
      </c>
      <c r="S61" s="5">
        <v>124</v>
      </c>
      <c r="T61" s="5">
        <v>80</v>
      </c>
    </row>
    <row r="62" spans="2:20">
      <c r="B62" s="5" t="s">
        <v>73</v>
      </c>
      <c r="C62" s="6">
        <v>6691</v>
      </c>
      <c r="D62" s="5">
        <v>2</v>
      </c>
      <c r="N62" s="5">
        <v>147</v>
      </c>
      <c r="O62" s="5">
        <v>10</v>
      </c>
      <c r="P62" s="5">
        <v>174</v>
      </c>
      <c r="Q62" s="5">
        <v>28</v>
      </c>
      <c r="R62" s="5">
        <v>144</v>
      </c>
      <c r="S62" s="5">
        <v>193</v>
      </c>
      <c r="T62" s="5">
        <v>35</v>
      </c>
    </row>
    <row r="63" spans="2:20">
      <c r="B63" s="5" t="s">
        <v>74</v>
      </c>
      <c r="C63" s="6">
        <v>7480</v>
      </c>
      <c r="D63" s="5">
        <v>2</v>
      </c>
      <c r="N63" s="5">
        <v>141</v>
      </c>
      <c r="O63" s="5">
        <v>84</v>
      </c>
      <c r="P63" s="5">
        <v>86</v>
      </c>
      <c r="Q63" s="5">
        <v>121</v>
      </c>
      <c r="R63" s="5">
        <v>22</v>
      </c>
      <c r="S63" s="5">
        <v>70</v>
      </c>
      <c r="T63" s="5">
        <v>4</v>
      </c>
    </row>
    <row r="64" spans="2:20">
      <c r="B64" s="5" t="s">
        <v>75</v>
      </c>
      <c r="C64" s="6">
        <v>3203</v>
      </c>
      <c r="D64" s="5">
        <v>7</v>
      </c>
      <c r="N64" s="5">
        <v>90</v>
      </c>
      <c r="O64" s="5">
        <v>195</v>
      </c>
      <c r="P64" s="5">
        <v>54</v>
      </c>
      <c r="Q64" s="5">
        <v>125</v>
      </c>
      <c r="R64" s="5">
        <v>186</v>
      </c>
      <c r="S64" s="5">
        <v>126</v>
      </c>
      <c r="T64" s="5">
        <v>150</v>
      </c>
    </row>
    <row r="65" spans="2:20">
      <c r="B65" s="5" t="s">
        <v>76</v>
      </c>
      <c r="C65" s="6">
        <v>3331</v>
      </c>
      <c r="D65" s="5">
        <v>1</v>
      </c>
      <c r="N65" s="5">
        <v>156</v>
      </c>
      <c r="O65" s="5">
        <v>181</v>
      </c>
      <c r="P65" s="5">
        <v>93</v>
      </c>
      <c r="Q65" s="5">
        <v>185</v>
      </c>
      <c r="R65" s="5">
        <v>3</v>
      </c>
      <c r="S65" s="5">
        <v>195</v>
      </c>
      <c r="T65" s="5">
        <v>22</v>
      </c>
    </row>
    <row r="66" spans="2:20">
      <c r="B66" s="5" t="s">
        <v>77</v>
      </c>
      <c r="C66" s="6">
        <v>1206</v>
      </c>
      <c r="D66" s="5">
        <v>7</v>
      </c>
      <c r="N66" s="5">
        <v>198</v>
      </c>
      <c r="O66" s="5">
        <v>105</v>
      </c>
      <c r="P66" s="5">
        <v>31</v>
      </c>
      <c r="Q66" s="5">
        <v>156</v>
      </c>
      <c r="R66" s="5">
        <v>23</v>
      </c>
      <c r="S66" s="5">
        <v>156</v>
      </c>
      <c r="T66" s="5">
        <v>145</v>
      </c>
    </row>
    <row r="67" spans="2:20">
      <c r="B67" s="5" t="s">
        <v>78</v>
      </c>
      <c r="C67" s="6">
        <v>5309</v>
      </c>
      <c r="D67" s="5">
        <v>8</v>
      </c>
      <c r="N67" s="5">
        <v>191</v>
      </c>
      <c r="O67" s="5">
        <v>19</v>
      </c>
      <c r="P67" s="5">
        <v>143</v>
      </c>
      <c r="Q67" s="5">
        <v>168</v>
      </c>
      <c r="R67" s="5">
        <v>122</v>
      </c>
      <c r="S67" s="5">
        <v>51</v>
      </c>
      <c r="T67" s="5">
        <v>130</v>
      </c>
    </row>
    <row r="68" spans="2:20">
      <c r="B68" s="5" t="s">
        <v>79</v>
      </c>
      <c r="C68" s="6">
        <v>7927</v>
      </c>
      <c r="D68" s="5">
        <v>11</v>
      </c>
      <c r="N68" s="5">
        <v>14</v>
      </c>
      <c r="O68" s="5">
        <v>57</v>
      </c>
      <c r="P68" s="5">
        <v>137</v>
      </c>
      <c r="Q68" s="5">
        <v>191</v>
      </c>
      <c r="R68" s="5">
        <v>47</v>
      </c>
      <c r="S68" s="5">
        <v>19</v>
      </c>
      <c r="T68" s="5">
        <v>116</v>
      </c>
    </row>
    <row r="69" spans="2:20">
      <c r="B69" s="5" t="s">
        <v>80</v>
      </c>
      <c r="C69" s="6">
        <v>6776</v>
      </c>
      <c r="D69" s="5">
        <v>11</v>
      </c>
      <c r="N69" s="5">
        <v>45</v>
      </c>
      <c r="O69" s="5">
        <v>36</v>
      </c>
      <c r="P69" s="5">
        <v>149</v>
      </c>
      <c r="Q69" s="5">
        <v>4</v>
      </c>
      <c r="R69" s="5">
        <v>179</v>
      </c>
      <c r="S69" s="5">
        <v>97</v>
      </c>
      <c r="T69" s="5">
        <v>2</v>
      </c>
    </row>
    <row r="70" spans="2:20">
      <c r="B70" s="5" t="s">
        <v>81</v>
      </c>
      <c r="C70" s="6">
        <v>8163</v>
      </c>
      <c r="D70" s="5">
        <v>12</v>
      </c>
      <c r="N70" s="5">
        <v>53</v>
      </c>
      <c r="O70" s="5">
        <v>69</v>
      </c>
      <c r="P70" s="5">
        <v>127</v>
      </c>
      <c r="Q70" s="5">
        <v>88</v>
      </c>
      <c r="R70" s="5">
        <v>45</v>
      </c>
      <c r="S70" s="5">
        <v>22</v>
      </c>
      <c r="T70" s="5">
        <v>12</v>
      </c>
    </row>
    <row r="71" spans="2:20">
      <c r="B71" s="5" t="s">
        <v>82</v>
      </c>
      <c r="C71" s="6">
        <v>7237</v>
      </c>
      <c r="D71" s="5">
        <v>1</v>
      </c>
      <c r="N71" s="5">
        <v>194</v>
      </c>
      <c r="O71" s="5">
        <v>184</v>
      </c>
      <c r="P71" s="5">
        <v>198</v>
      </c>
      <c r="Q71" s="5">
        <v>20</v>
      </c>
      <c r="R71" s="5">
        <v>51</v>
      </c>
      <c r="S71" s="5">
        <v>140</v>
      </c>
      <c r="T71" s="5">
        <v>12</v>
      </c>
    </row>
    <row r="72" spans="2:20">
      <c r="B72" s="5" t="s">
        <v>83</v>
      </c>
      <c r="C72" s="6">
        <v>6431</v>
      </c>
      <c r="D72" s="5">
        <v>4</v>
      </c>
      <c r="N72" s="5">
        <v>108</v>
      </c>
      <c r="O72" s="5">
        <v>62</v>
      </c>
      <c r="P72" s="5">
        <v>43</v>
      </c>
      <c r="Q72" s="5">
        <v>181</v>
      </c>
      <c r="R72" s="5">
        <v>43</v>
      </c>
      <c r="S72" s="5">
        <v>184</v>
      </c>
      <c r="T72" s="5">
        <v>5</v>
      </c>
    </row>
    <row r="73" spans="2:20">
      <c r="B73" s="5" t="s">
        <v>84</v>
      </c>
      <c r="C73" s="6">
        <v>9836</v>
      </c>
      <c r="D73" s="5">
        <v>2</v>
      </c>
      <c r="N73" s="5">
        <v>58</v>
      </c>
      <c r="O73" s="5">
        <v>130</v>
      </c>
      <c r="P73" s="5">
        <v>116</v>
      </c>
      <c r="Q73" s="5">
        <v>5</v>
      </c>
      <c r="R73" s="5">
        <v>33</v>
      </c>
      <c r="S73" s="5">
        <v>148</v>
      </c>
      <c r="T73" s="5">
        <v>78</v>
      </c>
    </row>
    <row r="74" spans="2:20">
      <c r="B74" s="5" t="s">
        <v>85</v>
      </c>
      <c r="C74" s="6">
        <v>9569</v>
      </c>
      <c r="D74" s="5">
        <v>3</v>
      </c>
      <c r="N74" s="5">
        <v>77</v>
      </c>
      <c r="O74" s="5">
        <v>113</v>
      </c>
      <c r="P74" s="5">
        <v>195</v>
      </c>
      <c r="Q74" s="5">
        <v>180</v>
      </c>
      <c r="R74" s="5">
        <v>168</v>
      </c>
      <c r="S74" s="5">
        <v>12</v>
      </c>
      <c r="T74" s="5">
        <v>165</v>
      </c>
    </row>
    <row r="75" spans="2:20">
      <c r="B75" s="5" t="s">
        <v>86</v>
      </c>
      <c r="C75" s="6">
        <v>6728</v>
      </c>
      <c r="D75" s="5">
        <v>1</v>
      </c>
      <c r="N75" s="5">
        <v>184</v>
      </c>
      <c r="O75" s="5">
        <v>165</v>
      </c>
      <c r="P75" s="5">
        <v>0</v>
      </c>
      <c r="Q75" s="5">
        <v>137</v>
      </c>
      <c r="R75" s="5">
        <v>179</v>
      </c>
      <c r="S75" s="5">
        <v>98</v>
      </c>
      <c r="T75" s="5">
        <v>177</v>
      </c>
    </row>
    <row r="76" spans="2:20">
      <c r="B76" s="5" t="s">
        <v>87</v>
      </c>
      <c r="C76" s="6">
        <v>5084</v>
      </c>
      <c r="D76" s="5">
        <v>4</v>
      </c>
      <c r="N76" s="5">
        <v>179</v>
      </c>
      <c r="O76" s="5">
        <v>90</v>
      </c>
      <c r="P76" s="5">
        <v>197</v>
      </c>
      <c r="Q76" s="5">
        <v>179</v>
      </c>
      <c r="R76" s="5">
        <v>115</v>
      </c>
      <c r="S76" s="5">
        <v>150</v>
      </c>
      <c r="T76" s="5">
        <v>1</v>
      </c>
    </row>
    <row r="77" spans="2:20">
      <c r="B77" s="5" t="s">
        <v>88</v>
      </c>
      <c r="C77" s="6">
        <v>5457</v>
      </c>
      <c r="D77" s="5">
        <v>4</v>
      </c>
      <c r="N77" s="5">
        <v>27</v>
      </c>
      <c r="O77" s="5">
        <v>53</v>
      </c>
      <c r="P77" s="5">
        <v>92</v>
      </c>
      <c r="Q77" s="5">
        <v>136</v>
      </c>
      <c r="R77" s="5">
        <v>100</v>
      </c>
      <c r="S77" s="5">
        <v>137</v>
      </c>
      <c r="T77" s="5">
        <v>138</v>
      </c>
    </row>
    <row r="78" spans="2:20">
      <c r="B78" s="5" t="s">
        <v>89</v>
      </c>
      <c r="C78" s="6">
        <v>8974</v>
      </c>
      <c r="D78" s="5">
        <v>2</v>
      </c>
      <c r="N78" s="5">
        <v>117</v>
      </c>
      <c r="O78" s="5">
        <v>191</v>
      </c>
      <c r="P78" s="5">
        <v>166</v>
      </c>
      <c r="Q78" s="5">
        <v>126</v>
      </c>
      <c r="R78" s="5">
        <v>149</v>
      </c>
      <c r="S78" s="5">
        <v>133</v>
      </c>
      <c r="T78" s="5">
        <v>89</v>
      </c>
    </row>
    <row r="79" spans="2:20">
      <c r="B79" s="5" t="s">
        <v>90</v>
      </c>
      <c r="C79" s="6">
        <v>2477</v>
      </c>
      <c r="D79" s="5">
        <v>10</v>
      </c>
      <c r="N79" s="5">
        <v>162</v>
      </c>
      <c r="O79" s="5">
        <v>103</v>
      </c>
      <c r="P79" s="5">
        <v>156</v>
      </c>
      <c r="Q79" s="5">
        <v>20</v>
      </c>
      <c r="R79" s="5">
        <v>93</v>
      </c>
      <c r="S79" s="5">
        <v>5</v>
      </c>
      <c r="T79" s="5">
        <v>171</v>
      </c>
    </row>
    <row r="80" spans="2:20">
      <c r="B80" s="5" t="s">
        <v>91</v>
      </c>
      <c r="C80" s="6">
        <v>6987</v>
      </c>
      <c r="D80" s="5">
        <v>6</v>
      </c>
      <c r="N80" s="5">
        <v>23</v>
      </c>
      <c r="O80" s="5">
        <v>13</v>
      </c>
      <c r="P80" s="5">
        <v>51</v>
      </c>
      <c r="Q80" s="5">
        <v>70</v>
      </c>
      <c r="R80" s="5">
        <v>158</v>
      </c>
      <c r="S80" s="5">
        <v>106</v>
      </c>
      <c r="T80" s="5">
        <v>23</v>
      </c>
    </row>
    <row r="81" spans="2:20">
      <c r="B81" s="5" t="s">
        <v>92</v>
      </c>
      <c r="C81" s="6">
        <v>4369</v>
      </c>
      <c r="D81" s="5">
        <v>2</v>
      </c>
      <c r="N81" s="5">
        <v>177</v>
      </c>
      <c r="O81" s="5">
        <v>154</v>
      </c>
      <c r="P81" s="5">
        <v>4</v>
      </c>
      <c r="Q81" s="5">
        <v>38</v>
      </c>
      <c r="R81" s="5">
        <v>38</v>
      </c>
      <c r="S81" s="5">
        <v>42</v>
      </c>
      <c r="T81" s="5">
        <v>134</v>
      </c>
    </row>
    <row r="82" spans="2:20">
      <c r="B82" s="5" t="s">
        <v>93</v>
      </c>
      <c r="C82" s="6">
        <v>5685</v>
      </c>
      <c r="D82" s="5">
        <v>4</v>
      </c>
      <c r="N82" s="5">
        <v>27</v>
      </c>
      <c r="O82" s="5">
        <v>187</v>
      </c>
      <c r="P82" s="5">
        <v>130</v>
      </c>
      <c r="Q82" s="5">
        <v>63</v>
      </c>
      <c r="R82" s="5">
        <v>104</v>
      </c>
      <c r="S82" s="5">
        <v>177</v>
      </c>
      <c r="T82" s="5">
        <v>28</v>
      </c>
    </row>
    <row r="83" spans="2:20">
      <c r="B83" s="5" t="s">
        <v>94</v>
      </c>
      <c r="C83" s="6">
        <v>2156</v>
      </c>
      <c r="D83" s="5">
        <v>2</v>
      </c>
      <c r="N83" s="5">
        <v>170</v>
      </c>
      <c r="O83" s="5">
        <v>93</v>
      </c>
      <c r="P83" s="5">
        <v>75</v>
      </c>
      <c r="Q83" s="5">
        <v>98</v>
      </c>
      <c r="R83" s="5">
        <v>109</v>
      </c>
      <c r="S83" s="5">
        <v>184</v>
      </c>
      <c r="T83" s="5">
        <v>146</v>
      </c>
    </row>
    <row r="84" spans="2:20">
      <c r="B84" s="5" t="s">
        <v>95</v>
      </c>
      <c r="C84" s="6">
        <v>6174</v>
      </c>
      <c r="D84" s="5">
        <v>1</v>
      </c>
      <c r="N84" s="5">
        <v>159</v>
      </c>
      <c r="O84" s="5">
        <v>200</v>
      </c>
      <c r="P84" s="5">
        <v>171</v>
      </c>
      <c r="Q84" s="5">
        <v>191</v>
      </c>
      <c r="R84" s="5">
        <v>48</v>
      </c>
      <c r="S84" s="5">
        <v>113</v>
      </c>
      <c r="T84" s="5">
        <v>172</v>
      </c>
    </row>
    <row r="85" spans="2:20">
      <c r="B85" s="5" t="s">
        <v>96</v>
      </c>
      <c r="C85" s="6">
        <v>2232</v>
      </c>
      <c r="D85" s="5">
        <v>1</v>
      </c>
      <c r="N85" s="5">
        <v>100</v>
      </c>
      <c r="O85" s="5">
        <v>168</v>
      </c>
      <c r="P85" s="5">
        <v>179</v>
      </c>
      <c r="Q85" s="5">
        <v>79</v>
      </c>
      <c r="R85" s="5">
        <v>146</v>
      </c>
      <c r="S85" s="5">
        <v>16</v>
      </c>
      <c r="T85" s="5">
        <v>138</v>
      </c>
    </row>
    <row r="86" spans="2:20">
      <c r="B86" s="5" t="s">
        <v>97</v>
      </c>
      <c r="C86" s="6">
        <v>3977</v>
      </c>
      <c r="D86" s="5">
        <v>9</v>
      </c>
      <c r="N86" s="5">
        <v>114</v>
      </c>
      <c r="O86" s="5">
        <v>181</v>
      </c>
      <c r="P86" s="5">
        <v>116</v>
      </c>
      <c r="Q86" s="5">
        <v>160</v>
      </c>
      <c r="R86" s="5">
        <v>129</v>
      </c>
      <c r="S86" s="5">
        <v>12</v>
      </c>
      <c r="T86" s="5">
        <v>90</v>
      </c>
    </row>
    <row r="87" spans="2:20">
      <c r="B87" s="5" t="s">
        <v>98</v>
      </c>
      <c r="C87" s="6">
        <v>2721</v>
      </c>
      <c r="D87" s="5">
        <v>10</v>
      </c>
      <c r="N87" s="5">
        <v>130</v>
      </c>
      <c r="O87" s="5">
        <v>85</v>
      </c>
      <c r="P87" s="5">
        <v>63</v>
      </c>
      <c r="Q87" s="5">
        <v>92</v>
      </c>
      <c r="R87" s="5">
        <v>164</v>
      </c>
      <c r="S87" s="5">
        <v>142</v>
      </c>
      <c r="T87" s="5">
        <v>15</v>
      </c>
    </row>
    <row r="88" spans="2:20">
      <c r="B88" s="5" t="s">
        <v>99</v>
      </c>
      <c r="C88" s="6">
        <v>6435</v>
      </c>
      <c r="D88" s="5">
        <v>8</v>
      </c>
      <c r="N88" s="5">
        <v>168</v>
      </c>
      <c r="O88" s="5">
        <v>70</v>
      </c>
      <c r="P88" s="5">
        <v>43</v>
      </c>
      <c r="Q88" s="5">
        <v>117</v>
      </c>
      <c r="R88" s="5">
        <v>177</v>
      </c>
      <c r="S88" s="5">
        <v>31</v>
      </c>
      <c r="T88" s="5">
        <v>184</v>
      </c>
    </row>
    <row r="89" spans="2:20">
      <c r="B89" s="5" t="s">
        <v>100</v>
      </c>
      <c r="C89" s="6">
        <v>5775</v>
      </c>
      <c r="D89" s="5">
        <v>4</v>
      </c>
      <c r="N89" s="5">
        <v>166</v>
      </c>
      <c r="O89" s="5">
        <v>184</v>
      </c>
      <c r="P89" s="5">
        <v>41</v>
      </c>
      <c r="Q89" s="5">
        <v>135</v>
      </c>
      <c r="R89" s="5">
        <v>188</v>
      </c>
      <c r="S89" s="5">
        <v>88</v>
      </c>
      <c r="T89" s="5">
        <v>63</v>
      </c>
    </row>
    <row r="90" spans="2:20">
      <c r="B90" s="5" t="s">
        <v>101</v>
      </c>
      <c r="C90" s="6">
        <v>2749</v>
      </c>
      <c r="D90" s="5">
        <v>2</v>
      </c>
      <c r="N90" s="5">
        <v>187</v>
      </c>
      <c r="O90" s="5">
        <v>96</v>
      </c>
      <c r="P90" s="5">
        <v>21</v>
      </c>
      <c r="Q90" s="5">
        <v>84</v>
      </c>
      <c r="R90" s="5">
        <v>19</v>
      </c>
      <c r="S90" s="5">
        <v>40</v>
      </c>
      <c r="T90" s="5">
        <v>12</v>
      </c>
    </row>
    <row r="91" spans="2:20">
      <c r="B91" s="5" t="s">
        <v>102</v>
      </c>
      <c r="C91" s="6">
        <v>1282</v>
      </c>
      <c r="D91" s="5">
        <v>8</v>
      </c>
      <c r="N91" s="5">
        <v>70</v>
      </c>
      <c r="O91" s="5">
        <v>172</v>
      </c>
      <c r="P91" s="5">
        <v>160</v>
      </c>
      <c r="Q91" s="5">
        <v>103</v>
      </c>
      <c r="R91" s="5">
        <v>157</v>
      </c>
      <c r="S91" s="5">
        <v>87</v>
      </c>
      <c r="T91" s="5">
        <v>112</v>
      </c>
    </row>
    <row r="92" spans="2:20">
      <c r="B92" s="5" t="s">
        <v>103</v>
      </c>
      <c r="C92" s="6">
        <v>1841</v>
      </c>
      <c r="D92" s="5">
        <v>7</v>
      </c>
      <c r="N92" s="5">
        <v>185</v>
      </c>
      <c r="O92" s="5">
        <v>46</v>
      </c>
      <c r="P92" s="5">
        <v>111</v>
      </c>
      <c r="Q92" s="5">
        <v>101</v>
      </c>
      <c r="R92" s="5">
        <v>159</v>
      </c>
      <c r="S92" s="5">
        <v>98</v>
      </c>
      <c r="T92" s="5">
        <v>189</v>
      </c>
    </row>
    <row r="93" spans="2:20">
      <c r="B93" s="5" t="s">
        <v>104</v>
      </c>
      <c r="C93" s="6">
        <v>5246</v>
      </c>
      <c r="D93" s="5">
        <v>11</v>
      </c>
      <c r="N93" s="5">
        <v>33</v>
      </c>
      <c r="O93" s="5">
        <v>193</v>
      </c>
      <c r="P93" s="5">
        <v>176</v>
      </c>
      <c r="Q93" s="5">
        <v>80</v>
      </c>
      <c r="R93" s="5">
        <v>170</v>
      </c>
      <c r="S93" s="5">
        <v>26</v>
      </c>
      <c r="T93" s="5">
        <v>81</v>
      </c>
    </row>
    <row r="94" spans="2:20">
      <c r="B94" s="5" t="s">
        <v>105</v>
      </c>
      <c r="C94" s="6">
        <v>6624</v>
      </c>
      <c r="D94" s="5">
        <v>4</v>
      </c>
      <c r="N94" s="5">
        <v>188</v>
      </c>
      <c r="O94" s="5">
        <v>195</v>
      </c>
      <c r="P94" s="5">
        <v>58</v>
      </c>
      <c r="Q94" s="5">
        <v>196</v>
      </c>
      <c r="R94" s="5">
        <v>22</v>
      </c>
      <c r="S94" s="5">
        <v>76</v>
      </c>
      <c r="T94" s="5">
        <v>179</v>
      </c>
    </row>
    <row r="95" spans="2:20">
      <c r="B95" s="5" t="s">
        <v>106</v>
      </c>
      <c r="C95" s="6">
        <v>9537</v>
      </c>
      <c r="D95" s="5">
        <v>8</v>
      </c>
      <c r="N95" s="5">
        <v>67</v>
      </c>
      <c r="O95" s="5">
        <v>171</v>
      </c>
      <c r="P95" s="5">
        <v>88</v>
      </c>
      <c r="Q95" s="5">
        <v>36</v>
      </c>
      <c r="R95" s="5">
        <v>121</v>
      </c>
      <c r="S95" s="5">
        <v>199</v>
      </c>
      <c r="T95" s="5">
        <v>175</v>
      </c>
    </row>
    <row r="96" spans="2:20">
      <c r="B96" s="5" t="s">
        <v>107</v>
      </c>
      <c r="C96" s="6">
        <v>1801</v>
      </c>
      <c r="D96" s="5">
        <v>3</v>
      </c>
      <c r="N96" s="5">
        <v>25</v>
      </c>
      <c r="O96" s="5">
        <v>178</v>
      </c>
      <c r="P96" s="5">
        <v>192</v>
      </c>
      <c r="Q96" s="5">
        <v>165</v>
      </c>
      <c r="R96" s="5">
        <v>30</v>
      </c>
      <c r="S96" s="5">
        <v>49</v>
      </c>
      <c r="T96" s="5">
        <v>182</v>
      </c>
    </row>
    <row r="97" spans="2:20">
      <c r="B97" s="5" t="s">
        <v>108</v>
      </c>
      <c r="C97" s="6">
        <v>2795</v>
      </c>
      <c r="D97" s="5">
        <v>4</v>
      </c>
      <c r="N97" s="5">
        <v>127</v>
      </c>
      <c r="O97" s="5">
        <v>91</v>
      </c>
      <c r="P97" s="5">
        <v>161</v>
      </c>
      <c r="Q97" s="5">
        <v>132</v>
      </c>
      <c r="R97" s="5">
        <v>62</v>
      </c>
      <c r="S97" s="5">
        <v>32</v>
      </c>
      <c r="T97" s="5">
        <v>168</v>
      </c>
    </row>
    <row r="98" spans="2:20">
      <c r="B98" s="5" t="s">
        <v>109</v>
      </c>
      <c r="C98" s="6">
        <v>9671</v>
      </c>
      <c r="D98" s="5">
        <v>5</v>
      </c>
      <c r="N98" s="5">
        <v>165</v>
      </c>
      <c r="O98" s="5">
        <v>127</v>
      </c>
      <c r="P98" s="5">
        <v>154</v>
      </c>
      <c r="Q98" s="5">
        <v>53</v>
      </c>
      <c r="R98" s="5">
        <v>11</v>
      </c>
      <c r="S98" s="5">
        <v>0</v>
      </c>
      <c r="T98" s="5">
        <v>157</v>
      </c>
    </row>
    <row r="99" spans="2:20">
      <c r="B99" s="5" t="s">
        <v>110</v>
      </c>
      <c r="C99" s="6">
        <v>5602</v>
      </c>
      <c r="D99" s="5">
        <v>2</v>
      </c>
      <c r="N99" s="5">
        <v>154</v>
      </c>
      <c r="O99" s="5">
        <v>36</v>
      </c>
      <c r="P99" s="5">
        <v>186</v>
      </c>
      <c r="Q99" s="5">
        <v>52</v>
      </c>
      <c r="R99" s="5">
        <v>144</v>
      </c>
      <c r="S99" s="5">
        <v>97</v>
      </c>
      <c r="T99" s="5">
        <v>101</v>
      </c>
    </row>
    <row r="100" spans="2:20">
      <c r="B100" s="5" t="s">
        <v>111</v>
      </c>
      <c r="C100" s="6">
        <v>4329</v>
      </c>
      <c r="D100" s="5">
        <v>12</v>
      </c>
      <c r="N100" s="5">
        <v>99</v>
      </c>
      <c r="O100" s="5">
        <v>148</v>
      </c>
      <c r="P100" s="5">
        <v>52</v>
      </c>
      <c r="Q100" s="5">
        <v>126</v>
      </c>
      <c r="R100" s="5">
        <v>78</v>
      </c>
      <c r="S100" s="5">
        <v>130</v>
      </c>
      <c r="T100" s="5">
        <v>35</v>
      </c>
    </row>
    <row r="101" spans="2:20">
      <c r="B101" s="5" t="s">
        <v>112</v>
      </c>
      <c r="C101" s="6">
        <v>7135</v>
      </c>
      <c r="D101" s="5">
        <v>9</v>
      </c>
      <c r="N101" s="5">
        <v>186</v>
      </c>
      <c r="O101" s="5">
        <v>86</v>
      </c>
      <c r="P101" s="5">
        <v>100</v>
      </c>
      <c r="Q101" s="5">
        <v>63</v>
      </c>
      <c r="R101" s="5">
        <v>0</v>
      </c>
      <c r="S101" s="5">
        <v>187</v>
      </c>
      <c r="T101" s="5">
        <v>132</v>
      </c>
    </row>
    <row r="102" spans="2:20">
      <c r="B102" s="5" t="s">
        <v>113</v>
      </c>
      <c r="C102" s="6">
        <v>5760</v>
      </c>
      <c r="D102" s="5">
        <v>8</v>
      </c>
      <c r="N102" s="5">
        <v>48</v>
      </c>
      <c r="O102" s="5">
        <v>182</v>
      </c>
      <c r="P102" s="5">
        <v>171</v>
      </c>
      <c r="Q102" s="5">
        <v>135</v>
      </c>
      <c r="R102" s="5">
        <v>142</v>
      </c>
      <c r="S102" s="5">
        <v>70</v>
      </c>
      <c r="T102" s="5">
        <v>120</v>
      </c>
    </row>
    <row r="103" spans="2:20">
      <c r="B103" s="5" t="s">
        <v>114</v>
      </c>
      <c r="C103" s="6">
        <v>2935</v>
      </c>
      <c r="D103" s="5">
        <v>10</v>
      </c>
      <c r="N103" s="5">
        <v>91</v>
      </c>
      <c r="O103" s="5">
        <v>196</v>
      </c>
      <c r="P103" s="5">
        <v>47</v>
      </c>
      <c r="Q103" s="5">
        <v>78</v>
      </c>
      <c r="R103" s="5">
        <v>65</v>
      </c>
      <c r="S103" s="5">
        <v>139</v>
      </c>
      <c r="T103" s="5">
        <v>135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2:Z87"/>
  <sheetViews>
    <sheetView tabSelected="1" workbookViewId="0">
      <pane xSplit="2" ySplit="3" topLeftCell="C4" activePane="bottomRight" state="frozen"/>
      <selection pane="topRight" activeCell="C1" sqref="C1"/>
      <selection pane="bottomLeft" activeCell="A4" sqref="A4"/>
      <selection pane="bottomRight" activeCell="F48" sqref="F48"/>
    </sheetView>
  </sheetViews>
  <sheetFormatPr defaultColWidth="12.6640625" defaultRowHeight="15.75" customHeight="1"/>
  <cols>
    <col min="5" max="5" width="14.6640625" customWidth="1"/>
    <col min="6" max="6" width="14.77734375" customWidth="1"/>
    <col min="7" max="7" width="16.77734375" customWidth="1"/>
  </cols>
  <sheetData>
    <row r="2" spans="1:26">
      <c r="D2" s="35" t="s">
        <v>115</v>
      </c>
      <c r="E2" s="36"/>
      <c r="F2" s="35" t="s">
        <v>116</v>
      </c>
      <c r="G2" s="36"/>
    </row>
    <row r="3" spans="1:26">
      <c r="A3" s="26" t="s">
        <v>117</v>
      </c>
      <c r="B3" s="26" t="s">
        <v>118</v>
      </c>
      <c r="C3" s="26" t="s">
        <v>119</v>
      </c>
      <c r="D3" s="26" t="s">
        <v>120</v>
      </c>
      <c r="E3" s="26" t="s">
        <v>121</v>
      </c>
      <c r="F3" s="26" t="s">
        <v>120</v>
      </c>
      <c r="G3" s="26" t="s">
        <v>121</v>
      </c>
      <c r="H3" s="16"/>
      <c r="I3" s="16"/>
      <c r="J3" s="16"/>
      <c r="K3" s="16"/>
      <c r="L3" s="16"/>
      <c r="M3" s="16"/>
      <c r="N3" s="16"/>
      <c r="O3" s="16"/>
      <c r="P3" s="16"/>
      <c r="Q3" s="16"/>
      <c r="R3" s="16"/>
      <c r="S3" s="16"/>
      <c r="T3" s="16"/>
      <c r="U3" s="16"/>
      <c r="V3" s="16"/>
      <c r="W3" s="16"/>
      <c r="X3" s="16"/>
      <c r="Y3" s="16"/>
      <c r="Z3" s="16"/>
    </row>
    <row r="4" spans="1:26">
      <c r="A4" s="5" t="s">
        <v>15</v>
      </c>
      <c r="B4" s="5" t="s">
        <v>122</v>
      </c>
      <c r="C4" s="5" t="s">
        <v>123</v>
      </c>
      <c r="D4" s="6">
        <v>308</v>
      </c>
      <c r="E4" s="5">
        <v>5</v>
      </c>
      <c r="F4" s="6">
        <v>173</v>
      </c>
      <c r="G4" s="5">
        <v>27</v>
      </c>
    </row>
    <row r="5" spans="1:26">
      <c r="A5" s="5" t="s">
        <v>15</v>
      </c>
      <c r="B5" s="5" t="s">
        <v>124</v>
      </c>
      <c r="C5" s="5" t="s">
        <v>123</v>
      </c>
      <c r="D5" s="6">
        <v>937</v>
      </c>
      <c r="E5" s="5">
        <v>3</v>
      </c>
      <c r="F5" s="6">
        <v>237</v>
      </c>
      <c r="G5" s="5">
        <v>40</v>
      </c>
    </row>
    <row r="6" spans="1:26">
      <c r="A6" s="5" t="s">
        <v>15</v>
      </c>
      <c r="B6" s="5" t="s">
        <v>125</v>
      </c>
      <c r="C6" s="5" t="s">
        <v>123</v>
      </c>
      <c r="D6" s="6">
        <v>484</v>
      </c>
      <c r="E6" s="5">
        <v>4</v>
      </c>
      <c r="F6" s="6">
        <v>81</v>
      </c>
      <c r="G6" s="5">
        <v>25</v>
      </c>
    </row>
    <row r="7" spans="1:26">
      <c r="A7" s="5" t="s">
        <v>15</v>
      </c>
      <c r="B7" s="5" t="s">
        <v>122</v>
      </c>
      <c r="C7" s="5" t="s">
        <v>126</v>
      </c>
      <c r="D7" s="6">
        <v>124</v>
      </c>
      <c r="E7" s="5">
        <v>6</v>
      </c>
      <c r="F7" s="6">
        <v>198</v>
      </c>
      <c r="G7" s="5">
        <v>38</v>
      </c>
    </row>
    <row r="8" spans="1:26">
      <c r="A8" s="5" t="s">
        <v>15</v>
      </c>
      <c r="B8" s="5" t="s">
        <v>124</v>
      </c>
      <c r="C8" s="5" t="s">
        <v>126</v>
      </c>
      <c r="D8" s="6">
        <v>112</v>
      </c>
      <c r="E8" s="5">
        <v>6</v>
      </c>
      <c r="F8" s="6">
        <v>64</v>
      </c>
      <c r="G8" s="5">
        <v>20</v>
      </c>
    </row>
    <row r="9" spans="1:26">
      <c r="A9" s="5" t="s">
        <v>15</v>
      </c>
      <c r="B9" s="5" t="s">
        <v>125</v>
      </c>
      <c r="C9" s="5" t="s">
        <v>126</v>
      </c>
      <c r="D9" s="6">
        <v>719</v>
      </c>
      <c r="E9" s="5">
        <v>2</v>
      </c>
      <c r="F9" s="6">
        <v>215</v>
      </c>
      <c r="G9" s="5">
        <v>35</v>
      </c>
    </row>
    <row r="10" spans="1:26">
      <c r="A10" s="5" t="s">
        <v>15</v>
      </c>
      <c r="B10" s="5" t="s">
        <v>122</v>
      </c>
      <c r="C10" s="5" t="s">
        <v>127</v>
      </c>
      <c r="D10" s="6">
        <v>238</v>
      </c>
      <c r="E10" s="5">
        <v>14</v>
      </c>
      <c r="F10" s="6">
        <v>98</v>
      </c>
      <c r="G10" s="5">
        <v>20</v>
      </c>
    </row>
    <row r="11" spans="1:26">
      <c r="A11" s="5" t="s">
        <v>15</v>
      </c>
      <c r="B11" s="5" t="s">
        <v>124</v>
      </c>
      <c r="C11" s="5" t="s">
        <v>127</v>
      </c>
      <c r="D11" s="6">
        <v>684</v>
      </c>
      <c r="E11" s="5">
        <v>2</v>
      </c>
      <c r="F11" s="6">
        <v>210</v>
      </c>
      <c r="G11" s="5">
        <v>26</v>
      </c>
    </row>
    <row r="12" spans="1:26">
      <c r="A12" s="5" t="s">
        <v>15</v>
      </c>
      <c r="B12" s="5" t="s">
        <v>125</v>
      </c>
      <c r="C12" s="5" t="s">
        <v>127</v>
      </c>
      <c r="D12" s="6">
        <v>793</v>
      </c>
      <c r="E12" s="5">
        <v>10</v>
      </c>
      <c r="F12" s="6">
        <v>202</v>
      </c>
      <c r="G12" s="5">
        <v>40</v>
      </c>
    </row>
    <row r="13" spans="1:26">
      <c r="A13" s="5" t="s">
        <v>15</v>
      </c>
      <c r="B13" s="5" t="s">
        <v>122</v>
      </c>
      <c r="C13" s="5" t="s">
        <v>128</v>
      </c>
      <c r="D13" s="6">
        <v>629</v>
      </c>
      <c r="E13" s="5">
        <v>12</v>
      </c>
      <c r="F13" s="6">
        <v>68</v>
      </c>
      <c r="G13" s="5">
        <v>24</v>
      </c>
    </row>
    <row r="14" spans="1:26">
      <c r="A14" s="5" t="s">
        <v>15</v>
      </c>
      <c r="B14" s="5" t="s">
        <v>124</v>
      </c>
      <c r="C14" s="5" t="s">
        <v>128</v>
      </c>
      <c r="D14" s="6">
        <v>541</v>
      </c>
      <c r="E14" s="5">
        <v>13</v>
      </c>
      <c r="F14" s="6">
        <v>54</v>
      </c>
      <c r="G14" s="5">
        <v>24</v>
      </c>
    </row>
    <row r="15" spans="1:26">
      <c r="A15" s="5" t="s">
        <v>15</v>
      </c>
      <c r="B15" s="5" t="s">
        <v>125</v>
      </c>
      <c r="C15" s="5" t="s">
        <v>128</v>
      </c>
      <c r="D15" s="6">
        <v>322</v>
      </c>
      <c r="E15" s="5">
        <v>14</v>
      </c>
      <c r="F15" s="6">
        <v>111</v>
      </c>
      <c r="G15" s="5">
        <v>40</v>
      </c>
    </row>
    <row r="16" spans="1:26">
      <c r="A16" s="5" t="s">
        <v>15</v>
      </c>
      <c r="B16" s="5" t="s">
        <v>122</v>
      </c>
      <c r="C16" s="5" t="s">
        <v>129</v>
      </c>
      <c r="D16" s="6">
        <v>452</v>
      </c>
      <c r="E16" s="5">
        <v>12</v>
      </c>
      <c r="F16" s="6">
        <v>82</v>
      </c>
      <c r="G16" s="5">
        <v>31</v>
      </c>
    </row>
    <row r="17" spans="1:7">
      <c r="A17" s="5" t="s">
        <v>15</v>
      </c>
      <c r="B17" s="5" t="s">
        <v>124</v>
      </c>
      <c r="C17" s="5" t="s">
        <v>129</v>
      </c>
      <c r="D17" s="6">
        <v>442</v>
      </c>
      <c r="E17" s="5">
        <v>2</v>
      </c>
      <c r="F17" s="6">
        <v>146</v>
      </c>
      <c r="G17" s="5">
        <v>34</v>
      </c>
    </row>
    <row r="18" spans="1:7">
      <c r="A18" s="5" t="s">
        <v>15</v>
      </c>
      <c r="B18" s="5" t="s">
        <v>125</v>
      </c>
      <c r="C18" s="5" t="s">
        <v>129</v>
      </c>
      <c r="D18" s="6">
        <v>776</v>
      </c>
      <c r="E18" s="5">
        <v>14</v>
      </c>
      <c r="F18" s="6">
        <v>55</v>
      </c>
      <c r="G18" s="5">
        <v>32</v>
      </c>
    </row>
    <row r="19" spans="1:7">
      <c r="A19" s="5" t="s">
        <v>15</v>
      </c>
      <c r="B19" s="5" t="s">
        <v>123</v>
      </c>
      <c r="C19" s="5" t="s">
        <v>127</v>
      </c>
      <c r="D19" s="6">
        <v>654</v>
      </c>
      <c r="E19" s="5">
        <v>6</v>
      </c>
      <c r="F19" s="6">
        <v>131</v>
      </c>
      <c r="G19" s="5">
        <v>22</v>
      </c>
    </row>
    <row r="20" spans="1:7">
      <c r="A20" s="5" t="s">
        <v>15</v>
      </c>
      <c r="B20" s="5" t="s">
        <v>126</v>
      </c>
      <c r="C20" s="5" t="s">
        <v>127</v>
      </c>
      <c r="D20" s="6">
        <v>485</v>
      </c>
      <c r="E20" s="5">
        <v>10</v>
      </c>
      <c r="F20" s="6">
        <v>101</v>
      </c>
      <c r="G20" s="5">
        <v>25</v>
      </c>
    </row>
    <row r="21" spans="1:7">
      <c r="A21" s="5" t="s">
        <v>15</v>
      </c>
      <c r="B21" s="5" t="s">
        <v>123</v>
      </c>
      <c r="C21" s="5" t="s">
        <v>128</v>
      </c>
      <c r="D21" s="6">
        <v>533</v>
      </c>
      <c r="E21" s="5">
        <v>4</v>
      </c>
      <c r="F21" s="6">
        <v>112</v>
      </c>
      <c r="G21" s="5">
        <v>28</v>
      </c>
    </row>
    <row r="22" spans="1:7">
      <c r="A22" s="5" t="s">
        <v>15</v>
      </c>
      <c r="B22" s="5" t="s">
        <v>126</v>
      </c>
      <c r="C22" s="5" t="s">
        <v>128</v>
      </c>
      <c r="D22" s="6">
        <v>447</v>
      </c>
      <c r="E22" s="5">
        <v>1</v>
      </c>
      <c r="F22" s="6">
        <v>172</v>
      </c>
      <c r="G22" s="5">
        <v>40</v>
      </c>
    </row>
    <row r="23" spans="1:7">
      <c r="A23" s="5" t="s">
        <v>15</v>
      </c>
      <c r="B23" s="5" t="s">
        <v>123</v>
      </c>
      <c r="C23" s="5" t="s">
        <v>129</v>
      </c>
      <c r="D23" s="6">
        <v>818</v>
      </c>
      <c r="E23" s="5">
        <v>3</v>
      </c>
      <c r="F23" s="6">
        <v>139</v>
      </c>
      <c r="G23" s="5">
        <v>21</v>
      </c>
    </row>
    <row r="24" spans="1:7">
      <c r="A24" s="5" t="s">
        <v>15</v>
      </c>
      <c r="B24" s="5" t="s">
        <v>126</v>
      </c>
      <c r="C24" s="5" t="s">
        <v>129</v>
      </c>
      <c r="D24" s="6">
        <v>878</v>
      </c>
      <c r="E24" s="5">
        <v>5</v>
      </c>
      <c r="F24" s="6">
        <v>181</v>
      </c>
      <c r="G24" s="5">
        <v>40</v>
      </c>
    </row>
    <row r="25" spans="1:7">
      <c r="A25" s="5" t="s">
        <v>16</v>
      </c>
      <c r="B25" s="5" t="s">
        <v>122</v>
      </c>
      <c r="C25" s="5" t="s">
        <v>123</v>
      </c>
      <c r="D25" s="6">
        <v>670</v>
      </c>
      <c r="E25" s="5">
        <v>4</v>
      </c>
      <c r="F25" s="6">
        <v>165</v>
      </c>
      <c r="G25" s="5">
        <v>30</v>
      </c>
    </row>
    <row r="26" spans="1:7">
      <c r="A26" s="5" t="s">
        <v>16</v>
      </c>
      <c r="B26" s="5" t="s">
        <v>124</v>
      </c>
      <c r="C26" s="5" t="s">
        <v>123</v>
      </c>
      <c r="D26" s="6">
        <v>878</v>
      </c>
      <c r="E26" s="5">
        <v>12</v>
      </c>
      <c r="F26" s="6">
        <v>244</v>
      </c>
      <c r="G26" s="5">
        <v>38</v>
      </c>
    </row>
    <row r="27" spans="1:7">
      <c r="A27" s="5" t="s">
        <v>16</v>
      </c>
      <c r="B27" s="5" t="s">
        <v>125</v>
      </c>
      <c r="C27" s="5" t="s">
        <v>123</v>
      </c>
      <c r="D27" s="6">
        <v>656</v>
      </c>
      <c r="E27" s="5">
        <v>11</v>
      </c>
      <c r="F27" s="6">
        <v>140</v>
      </c>
      <c r="G27" s="5">
        <v>33</v>
      </c>
    </row>
    <row r="28" spans="1:7">
      <c r="A28" s="5" t="s">
        <v>16</v>
      </c>
      <c r="B28" s="5" t="s">
        <v>122</v>
      </c>
      <c r="C28" s="5" t="s">
        <v>126</v>
      </c>
      <c r="D28" s="6">
        <v>891</v>
      </c>
      <c r="E28" s="5">
        <v>4</v>
      </c>
      <c r="F28" s="6">
        <v>200</v>
      </c>
      <c r="G28" s="5">
        <v>38</v>
      </c>
    </row>
    <row r="29" spans="1:7">
      <c r="A29" s="5" t="s">
        <v>16</v>
      </c>
      <c r="B29" s="5" t="s">
        <v>124</v>
      </c>
      <c r="C29" s="5" t="s">
        <v>126</v>
      </c>
      <c r="D29" s="6">
        <v>152</v>
      </c>
      <c r="E29" s="5">
        <v>10</v>
      </c>
      <c r="F29" s="6">
        <v>246</v>
      </c>
      <c r="G29" s="5">
        <v>22</v>
      </c>
    </row>
    <row r="30" spans="1:7">
      <c r="A30" s="5" t="s">
        <v>16</v>
      </c>
      <c r="B30" s="5" t="s">
        <v>125</v>
      </c>
      <c r="C30" s="5" t="s">
        <v>126</v>
      </c>
      <c r="D30" s="6">
        <v>664</v>
      </c>
      <c r="E30" s="5">
        <v>13</v>
      </c>
      <c r="F30" s="6">
        <v>60</v>
      </c>
      <c r="G30" s="5">
        <v>29</v>
      </c>
    </row>
    <row r="31" spans="1:7">
      <c r="A31" s="5" t="s">
        <v>16</v>
      </c>
      <c r="B31" s="5" t="s">
        <v>122</v>
      </c>
      <c r="C31" s="5" t="s">
        <v>127</v>
      </c>
      <c r="D31" s="6">
        <v>941</v>
      </c>
      <c r="E31" s="5">
        <v>1</v>
      </c>
      <c r="F31" s="6">
        <v>110</v>
      </c>
      <c r="G31" s="5">
        <v>27</v>
      </c>
    </row>
    <row r="32" spans="1:7">
      <c r="A32" s="5" t="s">
        <v>16</v>
      </c>
      <c r="B32" s="5" t="s">
        <v>124</v>
      </c>
      <c r="C32" s="5" t="s">
        <v>127</v>
      </c>
      <c r="D32" s="6">
        <v>263</v>
      </c>
      <c r="E32" s="5">
        <v>4</v>
      </c>
      <c r="F32" s="6">
        <v>81</v>
      </c>
      <c r="G32" s="5">
        <v>21</v>
      </c>
    </row>
    <row r="33" spans="1:7">
      <c r="A33" s="5" t="s">
        <v>16</v>
      </c>
      <c r="B33" s="5" t="s">
        <v>125</v>
      </c>
      <c r="C33" s="5" t="s">
        <v>127</v>
      </c>
      <c r="D33" s="6">
        <v>845</v>
      </c>
      <c r="E33" s="5">
        <v>6</v>
      </c>
      <c r="F33" s="6">
        <v>200</v>
      </c>
      <c r="G33" s="5">
        <v>30</v>
      </c>
    </row>
    <row r="34" spans="1:7">
      <c r="A34" s="5" t="s">
        <v>16</v>
      </c>
      <c r="B34" s="5" t="s">
        <v>122</v>
      </c>
      <c r="C34" s="5" t="s">
        <v>128</v>
      </c>
      <c r="D34" s="6">
        <v>380</v>
      </c>
      <c r="E34" s="5">
        <v>13</v>
      </c>
      <c r="F34" s="6">
        <v>66</v>
      </c>
      <c r="G34" s="5">
        <v>26</v>
      </c>
    </row>
    <row r="35" spans="1:7">
      <c r="A35" s="5" t="s">
        <v>16</v>
      </c>
      <c r="B35" s="5" t="s">
        <v>124</v>
      </c>
      <c r="C35" s="5" t="s">
        <v>128</v>
      </c>
      <c r="D35" s="6">
        <v>433</v>
      </c>
      <c r="E35" s="5">
        <v>1</v>
      </c>
      <c r="F35" s="6">
        <v>132</v>
      </c>
      <c r="G35" s="5">
        <v>34</v>
      </c>
    </row>
    <row r="36" spans="1:7">
      <c r="A36" s="5" t="s">
        <v>16</v>
      </c>
      <c r="B36" s="5" t="s">
        <v>125</v>
      </c>
      <c r="C36" s="5" t="s">
        <v>128</v>
      </c>
      <c r="D36" s="6">
        <v>308</v>
      </c>
      <c r="E36" s="5">
        <v>1</v>
      </c>
      <c r="F36" s="6">
        <v>163</v>
      </c>
      <c r="G36" s="5">
        <v>30</v>
      </c>
    </row>
    <row r="37" spans="1:7">
      <c r="A37" s="5" t="s">
        <v>16</v>
      </c>
      <c r="B37" s="5" t="s">
        <v>122</v>
      </c>
      <c r="C37" s="5" t="s">
        <v>129</v>
      </c>
      <c r="D37" s="6">
        <v>991</v>
      </c>
      <c r="E37" s="5">
        <v>11</v>
      </c>
      <c r="F37" s="6">
        <v>203</v>
      </c>
      <c r="G37" s="5">
        <v>26</v>
      </c>
    </row>
    <row r="38" spans="1:7">
      <c r="A38" s="5" t="s">
        <v>16</v>
      </c>
      <c r="B38" s="5" t="s">
        <v>124</v>
      </c>
      <c r="C38" s="5" t="s">
        <v>129</v>
      </c>
      <c r="D38" s="6">
        <v>931</v>
      </c>
      <c r="E38" s="5">
        <v>5</v>
      </c>
      <c r="F38" s="6">
        <v>62</v>
      </c>
      <c r="G38" s="5">
        <v>22</v>
      </c>
    </row>
    <row r="39" spans="1:7">
      <c r="A39" s="5" t="s">
        <v>16</v>
      </c>
      <c r="B39" s="5" t="s">
        <v>125</v>
      </c>
      <c r="C39" s="5" t="s">
        <v>129</v>
      </c>
      <c r="D39" s="6">
        <v>692</v>
      </c>
      <c r="E39" s="5">
        <v>2</v>
      </c>
      <c r="F39" s="6">
        <v>70</v>
      </c>
      <c r="G39" s="5">
        <v>31</v>
      </c>
    </row>
    <row r="40" spans="1:7">
      <c r="A40" s="5" t="s">
        <v>16</v>
      </c>
      <c r="B40" s="5" t="s">
        <v>123</v>
      </c>
      <c r="C40" s="5" t="s">
        <v>127</v>
      </c>
      <c r="D40" s="6">
        <v>822</v>
      </c>
      <c r="E40" s="5">
        <v>4</v>
      </c>
      <c r="F40" s="6">
        <v>76</v>
      </c>
      <c r="G40" s="5">
        <v>26</v>
      </c>
    </row>
    <row r="41" spans="1:7">
      <c r="A41" s="5" t="s">
        <v>16</v>
      </c>
      <c r="B41" s="5" t="s">
        <v>126</v>
      </c>
      <c r="C41" s="5" t="s">
        <v>127</v>
      </c>
      <c r="D41" s="6">
        <v>346</v>
      </c>
      <c r="E41" s="5">
        <v>2</v>
      </c>
      <c r="F41" s="6">
        <v>237</v>
      </c>
      <c r="G41" s="5">
        <v>32</v>
      </c>
    </row>
    <row r="42" spans="1:7">
      <c r="A42" s="5" t="s">
        <v>16</v>
      </c>
      <c r="B42" s="5" t="s">
        <v>123</v>
      </c>
      <c r="C42" s="5" t="s">
        <v>128</v>
      </c>
      <c r="D42" s="6">
        <v>124</v>
      </c>
      <c r="E42" s="5">
        <v>2</v>
      </c>
      <c r="F42" s="6">
        <v>190</v>
      </c>
      <c r="G42" s="5">
        <v>39</v>
      </c>
    </row>
    <row r="43" spans="1:7">
      <c r="A43" s="5" t="s">
        <v>16</v>
      </c>
      <c r="B43" s="5" t="s">
        <v>126</v>
      </c>
      <c r="C43" s="5" t="s">
        <v>128</v>
      </c>
      <c r="D43" s="6">
        <v>155</v>
      </c>
      <c r="E43" s="5">
        <v>8</v>
      </c>
      <c r="F43" s="6">
        <v>180</v>
      </c>
      <c r="G43" s="5">
        <v>25</v>
      </c>
    </row>
    <row r="44" spans="1:7">
      <c r="A44" s="5" t="s">
        <v>16</v>
      </c>
      <c r="B44" s="5" t="s">
        <v>123</v>
      </c>
      <c r="C44" s="5" t="s">
        <v>129</v>
      </c>
      <c r="D44" s="6">
        <v>357</v>
      </c>
      <c r="E44" s="5">
        <v>12</v>
      </c>
      <c r="F44" s="6">
        <v>114</v>
      </c>
      <c r="G44" s="5">
        <v>28</v>
      </c>
    </row>
    <row r="45" spans="1:7">
      <c r="A45" s="5" t="s">
        <v>16</v>
      </c>
      <c r="B45" s="5" t="s">
        <v>126</v>
      </c>
      <c r="C45" s="5" t="s">
        <v>129</v>
      </c>
      <c r="D45" s="6">
        <v>364</v>
      </c>
      <c r="E45" s="5">
        <v>4</v>
      </c>
      <c r="F45" s="6">
        <v>75</v>
      </c>
      <c r="G45" s="5">
        <v>26</v>
      </c>
    </row>
    <row r="46" spans="1:7">
      <c r="A46" s="5" t="s">
        <v>17</v>
      </c>
      <c r="B46" s="5" t="s">
        <v>122</v>
      </c>
      <c r="C46" s="5" t="s">
        <v>123</v>
      </c>
      <c r="D46" s="6">
        <v>168</v>
      </c>
      <c r="E46" s="5">
        <v>9</v>
      </c>
      <c r="F46" s="6">
        <v>205</v>
      </c>
      <c r="G46" s="5">
        <v>21</v>
      </c>
    </row>
    <row r="47" spans="1:7">
      <c r="A47" s="5" t="s">
        <v>17</v>
      </c>
      <c r="B47" s="5" t="s">
        <v>124</v>
      </c>
      <c r="C47" s="5" t="s">
        <v>123</v>
      </c>
      <c r="D47" s="6">
        <v>306</v>
      </c>
      <c r="E47" s="5">
        <v>14</v>
      </c>
      <c r="F47" s="6">
        <v>241</v>
      </c>
      <c r="G47" s="5">
        <v>21</v>
      </c>
    </row>
    <row r="48" spans="1:7">
      <c r="A48" s="12" t="s">
        <v>17</v>
      </c>
      <c r="B48" s="5" t="s">
        <v>125</v>
      </c>
      <c r="C48" s="5" t="s">
        <v>123</v>
      </c>
      <c r="D48" s="6">
        <v>317</v>
      </c>
      <c r="E48" s="5">
        <v>8</v>
      </c>
      <c r="F48" s="22">
        <v>128</v>
      </c>
      <c r="G48" s="5">
        <v>29</v>
      </c>
    </row>
    <row r="49" spans="1:7">
      <c r="A49" s="5" t="s">
        <v>17</v>
      </c>
      <c r="B49" s="5" t="s">
        <v>122</v>
      </c>
      <c r="C49" s="5" t="s">
        <v>126</v>
      </c>
      <c r="D49" s="6">
        <v>984</v>
      </c>
      <c r="E49" s="5">
        <v>9</v>
      </c>
      <c r="F49" s="6">
        <v>226</v>
      </c>
      <c r="G49" s="5">
        <v>40</v>
      </c>
    </row>
    <row r="50" spans="1:7">
      <c r="A50" s="5" t="s">
        <v>17</v>
      </c>
      <c r="B50" s="5" t="s">
        <v>124</v>
      </c>
      <c r="C50" s="5" t="s">
        <v>126</v>
      </c>
      <c r="D50" s="6">
        <v>104</v>
      </c>
      <c r="E50" s="5">
        <v>12</v>
      </c>
      <c r="F50" s="6">
        <v>67</v>
      </c>
      <c r="G50" s="5">
        <v>34</v>
      </c>
    </row>
    <row r="51" spans="1:7">
      <c r="A51" s="5" t="s">
        <v>17</v>
      </c>
      <c r="B51" s="5" t="s">
        <v>125</v>
      </c>
      <c r="C51" s="5" t="s">
        <v>126</v>
      </c>
      <c r="D51" s="6">
        <v>208</v>
      </c>
      <c r="E51" s="5">
        <v>1</v>
      </c>
      <c r="F51" s="6">
        <v>68</v>
      </c>
      <c r="G51" s="5">
        <v>38</v>
      </c>
    </row>
    <row r="52" spans="1:7">
      <c r="A52" s="5" t="s">
        <v>17</v>
      </c>
      <c r="B52" s="5" t="s">
        <v>122</v>
      </c>
      <c r="C52" s="5" t="s">
        <v>127</v>
      </c>
      <c r="D52" s="6">
        <v>700</v>
      </c>
      <c r="E52" s="5">
        <v>7</v>
      </c>
      <c r="F52" s="6">
        <v>127</v>
      </c>
      <c r="G52" s="5">
        <v>28</v>
      </c>
    </row>
    <row r="53" spans="1:7">
      <c r="A53" s="5" t="s">
        <v>17</v>
      </c>
      <c r="B53" s="5" t="s">
        <v>124</v>
      </c>
      <c r="C53" s="5" t="s">
        <v>127</v>
      </c>
      <c r="D53" s="6">
        <v>985</v>
      </c>
      <c r="E53" s="5">
        <v>5</v>
      </c>
      <c r="F53" s="6">
        <v>246</v>
      </c>
      <c r="G53" s="5">
        <v>29</v>
      </c>
    </row>
    <row r="54" spans="1:7">
      <c r="A54" s="5" t="s">
        <v>17</v>
      </c>
      <c r="B54" s="5" t="s">
        <v>125</v>
      </c>
      <c r="C54" s="5" t="s">
        <v>127</v>
      </c>
      <c r="D54" s="6">
        <v>245</v>
      </c>
      <c r="E54" s="5">
        <v>13</v>
      </c>
      <c r="F54" s="6">
        <v>217</v>
      </c>
      <c r="G54" s="5">
        <v>35</v>
      </c>
    </row>
    <row r="55" spans="1:7">
      <c r="A55" s="5" t="s">
        <v>17</v>
      </c>
      <c r="B55" s="5" t="s">
        <v>122</v>
      </c>
      <c r="C55" s="5" t="s">
        <v>128</v>
      </c>
      <c r="D55" s="6">
        <v>659</v>
      </c>
      <c r="E55" s="5">
        <v>11</v>
      </c>
      <c r="F55" s="6">
        <v>171</v>
      </c>
      <c r="G55" s="5">
        <v>27</v>
      </c>
    </row>
    <row r="56" spans="1:7">
      <c r="A56" s="5" t="s">
        <v>17</v>
      </c>
      <c r="B56" s="5" t="s">
        <v>124</v>
      </c>
      <c r="C56" s="5" t="s">
        <v>128</v>
      </c>
      <c r="D56" s="6">
        <v>467</v>
      </c>
      <c r="E56" s="5">
        <v>12</v>
      </c>
      <c r="F56" s="6">
        <v>229</v>
      </c>
      <c r="G56" s="5">
        <v>33</v>
      </c>
    </row>
    <row r="57" spans="1:7">
      <c r="A57" s="5" t="s">
        <v>17</v>
      </c>
      <c r="B57" s="5" t="s">
        <v>125</v>
      </c>
      <c r="C57" s="5" t="s">
        <v>128</v>
      </c>
      <c r="D57" s="6">
        <v>925</v>
      </c>
      <c r="E57" s="5">
        <v>9</v>
      </c>
      <c r="F57" s="6">
        <v>171</v>
      </c>
      <c r="G57" s="5">
        <v>41</v>
      </c>
    </row>
    <row r="58" spans="1:7">
      <c r="A58" s="5" t="s">
        <v>17</v>
      </c>
      <c r="B58" s="5" t="s">
        <v>122</v>
      </c>
      <c r="C58" s="5" t="s">
        <v>129</v>
      </c>
      <c r="D58" s="6">
        <v>818</v>
      </c>
      <c r="E58" s="5">
        <v>5</v>
      </c>
      <c r="F58" s="6">
        <v>128</v>
      </c>
      <c r="G58" s="5">
        <v>41</v>
      </c>
    </row>
    <row r="59" spans="1:7">
      <c r="A59" s="5" t="s">
        <v>17</v>
      </c>
      <c r="B59" s="5" t="s">
        <v>124</v>
      </c>
      <c r="C59" s="5" t="s">
        <v>129</v>
      </c>
      <c r="D59" s="6">
        <v>186</v>
      </c>
      <c r="E59" s="5">
        <v>7</v>
      </c>
      <c r="F59" s="6">
        <v>103</v>
      </c>
      <c r="G59" s="5">
        <v>39</v>
      </c>
    </row>
    <row r="60" spans="1:7">
      <c r="A60" s="5" t="s">
        <v>17</v>
      </c>
      <c r="B60" s="5" t="s">
        <v>125</v>
      </c>
      <c r="C60" s="5" t="s">
        <v>129</v>
      </c>
      <c r="D60" s="6">
        <v>934</v>
      </c>
      <c r="E60" s="5">
        <v>13</v>
      </c>
      <c r="F60" s="6">
        <v>187</v>
      </c>
      <c r="G60" s="5">
        <v>34</v>
      </c>
    </row>
    <row r="61" spans="1:7">
      <c r="A61" s="5" t="s">
        <v>17</v>
      </c>
      <c r="B61" s="5" t="s">
        <v>123</v>
      </c>
      <c r="C61" s="5" t="s">
        <v>127</v>
      </c>
      <c r="D61" s="6">
        <v>772</v>
      </c>
      <c r="E61" s="5">
        <v>1</v>
      </c>
      <c r="F61" s="6">
        <v>61</v>
      </c>
      <c r="G61" s="5">
        <v>36</v>
      </c>
    </row>
    <row r="62" spans="1:7">
      <c r="A62" s="5" t="s">
        <v>17</v>
      </c>
      <c r="B62" s="5" t="s">
        <v>126</v>
      </c>
      <c r="C62" s="5" t="s">
        <v>127</v>
      </c>
      <c r="D62" s="6">
        <v>151</v>
      </c>
      <c r="E62" s="5">
        <v>12</v>
      </c>
      <c r="F62" s="6">
        <v>118</v>
      </c>
      <c r="G62" s="5">
        <v>23</v>
      </c>
    </row>
    <row r="63" spans="1:7">
      <c r="A63" s="12" t="s">
        <v>17</v>
      </c>
      <c r="B63" s="5" t="s">
        <v>123</v>
      </c>
      <c r="C63" s="5" t="s">
        <v>128</v>
      </c>
      <c r="D63" s="22">
        <v>429</v>
      </c>
      <c r="E63" s="5">
        <v>14</v>
      </c>
      <c r="F63" s="6">
        <v>66</v>
      </c>
      <c r="G63" s="5">
        <v>25</v>
      </c>
    </row>
    <row r="64" spans="1:7">
      <c r="A64" s="5" t="s">
        <v>17</v>
      </c>
      <c r="B64" s="5" t="s">
        <v>126</v>
      </c>
      <c r="C64" s="5" t="s">
        <v>128</v>
      </c>
      <c r="D64" s="6">
        <v>417</v>
      </c>
      <c r="E64" s="5">
        <v>6</v>
      </c>
      <c r="F64" s="6">
        <v>159</v>
      </c>
      <c r="G64" s="5">
        <v>23</v>
      </c>
    </row>
    <row r="65" spans="1:7">
      <c r="A65" s="5" t="s">
        <v>17</v>
      </c>
      <c r="B65" s="5" t="s">
        <v>123</v>
      </c>
      <c r="C65" s="5" t="s">
        <v>129</v>
      </c>
      <c r="D65" s="6">
        <v>959</v>
      </c>
      <c r="E65" s="5">
        <v>2</v>
      </c>
      <c r="F65" s="6">
        <v>117</v>
      </c>
      <c r="G65" s="5">
        <v>38</v>
      </c>
    </row>
    <row r="66" spans="1:7">
      <c r="A66" s="5" t="s">
        <v>17</v>
      </c>
      <c r="B66" s="5" t="s">
        <v>126</v>
      </c>
      <c r="C66" s="5" t="s">
        <v>129</v>
      </c>
      <c r="D66" s="6">
        <v>462</v>
      </c>
      <c r="E66" s="5">
        <v>2</v>
      </c>
      <c r="F66" s="6">
        <v>167</v>
      </c>
      <c r="G66" s="5">
        <v>23</v>
      </c>
    </row>
    <row r="67" spans="1:7">
      <c r="A67" s="5" t="s">
        <v>18</v>
      </c>
      <c r="B67" s="5" t="s">
        <v>122</v>
      </c>
      <c r="C67" s="5" t="s">
        <v>123</v>
      </c>
      <c r="D67" s="6">
        <v>628</v>
      </c>
      <c r="E67" s="5">
        <v>1</v>
      </c>
      <c r="F67" s="6">
        <v>235</v>
      </c>
      <c r="G67" s="5">
        <v>22</v>
      </c>
    </row>
    <row r="68" spans="1:7">
      <c r="A68" s="5" t="s">
        <v>18</v>
      </c>
      <c r="B68" s="5" t="s">
        <v>124</v>
      </c>
      <c r="C68" s="5" t="s">
        <v>123</v>
      </c>
      <c r="D68" s="6">
        <v>489</v>
      </c>
      <c r="E68" s="5">
        <v>5</v>
      </c>
      <c r="F68" s="6">
        <v>204</v>
      </c>
      <c r="G68" s="5">
        <v>20</v>
      </c>
    </row>
    <row r="69" spans="1:7">
      <c r="A69" s="5" t="s">
        <v>18</v>
      </c>
      <c r="B69" s="5" t="s">
        <v>125</v>
      </c>
      <c r="C69" s="5" t="s">
        <v>123</v>
      </c>
      <c r="D69" s="6">
        <v>895</v>
      </c>
      <c r="E69" s="5">
        <v>5</v>
      </c>
      <c r="F69" s="6">
        <v>179</v>
      </c>
      <c r="G69" s="5">
        <v>22</v>
      </c>
    </row>
    <row r="70" spans="1:7">
      <c r="A70" s="5" t="s">
        <v>18</v>
      </c>
      <c r="B70" s="5" t="s">
        <v>122</v>
      </c>
      <c r="C70" s="5" t="s">
        <v>126</v>
      </c>
      <c r="D70" s="6">
        <v>913</v>
      </c>
      <c r="E70" s="5">
        <v>10</v>
      </c>
      <c r="F70" s="6">
        <v>164</v>
      </c>
      <c r="G70" s="5">
        <v>27</v>
      </c>
    </row>
    <row r="71" spans="1:7">
      <c r="A71" s="5" t="s">
        <v>18</v>
      </c>
      <c r="B71" s="5" t="s">
        <v>124</v>
      </c>
      <c r="C71" s="5" t="s">
        <v>126</v>
      </c>
      <c r="D71" s="6">
        <v>155</v>
      </c>
      <c r="E71" s="5">
        <v>9</v>
      </c>
      <c r="F71" s="6">
        <v>173</v>
      </c>
      <c r="G71" s="5">
        <v>22</v>
      </c>
    </row>
    <row r="72" spans="1:7">
      <c r="A72" s="5" t="s">
        <v>18</v>
      </c>
      <c r="B72" s="5" t="s">
        <v>125</v>
      </c>
      <c r="C72" s="5" t="s">
        <v>126</v>
      </c>
      <c r="D72" s="6">
        <v>499</v>
      </c>
      <c r="E72" s="5">
        <v>14</v>
      </c>
      <c r="F72" s="6">
        <v>246</v>
      </c>
      <c r="G72" s="5">
        <v>27</v>
      </c>
    </row>
    <row r="73" spans="1:7">
      <c r="A73" s="5" t="s">
        <v>18</v>
      </c>
      <c r="B73" s="5" t="s">
        <v>122</v>
      </c>
      <c r="C73" s="5" t="s">
        <v>127</v>
      </c>
      <c r="D73" s="6">
        <v>445</v>
      </c>
      <c r="E73" s="5">
        <v>10</v>
      </c>
      <c r="F73" s="6">
        <v>204</v>
      </c>
      <c r="G73" s="5">
        <v>25</v>
      </c>
    </row>
    <row r="74" spans="1:7">
      <c r="A74" s="5" t="s">
        <v>18</v>
      </c>
      <c r="B74" s="5" t="s">
        <v>124</v>
      </c>
      <c r="C74" s="5" t="s">
        <v>127</v>
      </c>
      <c r="D74" s="6">
        <v>696</v>
      </c>
      <c r="E74" s="5">
        <v>7</v>
      </c>
      <c r="F74" s="6">
        <v>145</v>
      </c>
      <c r="G74" s="5">
        <v>22</v>
      </c>
    </row>
    <row r="75" spans="1:7">
      <c r="A75" s="5" t="s">
        <v>18</v>
      </c>
      <c r="B75" s="5" t="s">
        <v>125</v>
      </c>
      <c r="C75" s="5" t="s">
        <v>127</v>
      </c>
      <c r="D75" s="6">
        <v>334</v>
      </c>
      <c r="E75" s="5">
        <v>3</v>
      </c>
      <c r="F75" s="6">
        <v>170</v>
      </c>
      <c r="G75" s="5">
        <v>21</v>
      </c>
    </row>
    <row r="76" spans="1:7">
      <c r="A76" s="5" t="s">
        <v>18</v>
      </c>
      <c r="B76" s="5" t="s">
        <v>122</v>
      </c>
      <c r="C76" s="5" t="s">
        <v>128</v>
      </c>
      <c r="D76" s="6">
        <v>689</v>
      </c>
      <c r="E76" s="5">
        <v>7</v>
      </c>
      <c r="F76" s="6">
        <v>64</v>
      </c>
      <c r="G76" s="5">
        <v>37</v>
      </c>
    </row>
    <row r="77" spans="1:7">
      <c r="A77" s="5" t="s">
        <v>18</v>
      </c>
      <c r="B77" s="5" t="s">
        <v>124</v>
      </c>
      <c r="C77" s="5" t="s">
        <v>128</v>
      </c>
      <c r="D77" s="6">
        <v>877</v>
      </c>
      <c r="E77" s="5">
        <v>8</v>
      </c>
      <c r="F77" s="6">
        <v>179</v>
      </c>
      <c r="G77" s="5">
        <v>40</v>
      </c>
    </row>
    <row r="78" spans="1:7">
      <c r="A78" s="5" t="s">
        <v>18</v>
      </c>
      <c r="B78" s="5" t="s">
        <v>125</v>
      </c>
      <c r="C78" s="5" t="s">
        <v>128</v>
      </c>
      <c r="D78" s="6">
        <v>946</v>
      </c>
      <c r="E78" s="5">
        <v>3</v>
      </c>
      <c r="F78" s="6">
        <v>166</v>
      </c>
      <c r="G78" s="5">
        <v>34</v>
      </c>
    </row>
    <row r="79" spans="1:7">
      <c r="A79" s="5" t="s">
        <v>18</v>
      </c>
      <c r="B79" s="5" t="s">
        <v>122</v>
      </c>
      <c r="C79" s="5" t="s">
        <v>129</v>
      </c>
      <c r="D79" s="6">
        <v>331</v>
      </c>
      <c r="E79" s="5">
        <v>14</v>
      </c>
      <c r="F79" s="6">
        <v>103</v>
      </c>
      <c r="G79" s="5">
        <v>33</v>
      </c>
    </row>
    <row r="80" spans="1:7">
      <c r="A80" s="5" t="s">
        <v>18</v>
      </c>
      <c r="B80" s="5" t="s">
        <v>124</v>
      </c>
      <c r="C80" s="5" t="s">
        <v>129</v>
      </c>
      <c r="D80" s="6">
        <v>300</v>
      </c>
      <c r="E80" s="5">
        <v>1</v>
      </c>
      <c r="F80" s="6">
        <v>140</v>
      </c>
      <c r="G80" s="5">
        <v>28</v>
      </c>
    </row>
    <row r="81" spans="1:7">
      <c r="A81" s="5" t="s">
        <v>18</v>
      </c>
      <c r="B81" s="5" t="s">
        <v>125</v>
      </c>
      <c r="C81" s="5" t="s">
        <v>129</v>
      </c>
      <c r="D81" s="6">
        <v>949</v>
      </c>
      <c r="E81" s="5">
        <v>2</v>
      </c>
      <c r="F81" s="6">
        <v>206</v>
      </c>
      <c r="G81" s="5">
        <v>28</v>
      </c>
    </row>
    <row r="82" spans="1:7">
      <c r="A82" s="5" t="s">
        <v>18</v>
      </c>
      <c r="B82" s="5" t="s">
        <v>123</v>
      </c>
      <c r="C82" s="5" t="s">
        <v>127</v>
      </c>
      <c r="D82" s="6">
        <v>279</v>
      </c>
      <c r="E82" s="5">
        <v>5</v>
      </c>
      <c r="F82" s="6">
        <v>246</v>
      </c>
      <c r="G82" s="5">
        <v>30</v>
      </c>
    </row>
    <row r="83" spans="1:7">
      <c r="A83" s="5" t="s">
        <v>18</v>
      </c>
      <c r="B83" s="5" t="s">
        <v>126</v>
      </c>
      <c r="C83" s="5" t="s">
        <v>127</v>
      </c>
      <c r="D83" s="6">
        <v>390</v>
      </c>
      <c r="E83" s="5">
        <v>3</v>
      </c>
      <c r="F83" s="6">
        <v>213</v>
      </c>
      <c r="G83" s="5">
        <v>41</v>
      </c>
    </row>
    <row r="84" spans="1:7">
      <c r="A84" s="5" t="s">
        <v>18</v>
      </c>
      <c r="B84" s="5" t="s">
        <v>123</v>
      </c>
      <c r="C84" s="5" t="s">
        <v>128</v>
      </c>
      <c r="D84" s="6">
        <v>724</v>
      </c>
      <c r="E84" s="5">
        <v>12</v>
      </c>
      <c r="F84" s="6">
        <v>214</v>
      </c>
      <c r="G84" s="5">
        <v>22</v>
      </c>
    </row>
    <row r="85" spans="1:7">
      <c r="A85" s="5" t="s">
        <v>18</v>
      </c>
      <c r="B85" s="5" t="s">
        <v>126</v>
      </c>
      <c r="C85" s="5" t="s">
        <v>128</v>
      </c>
      <c r="D85" s="6">
        <v>255</v>
      </c>
      <c r="E85" s="5">
        <v>4</v>
      </c>
      <c r="F85" s="6">
        <v>102</v>
      </c>
      <c r="G85" s="5">
        <v>22</v>
      </c>
    </row>
    <row r="86" spans="1:7">
      <c r="A86" s="5" t="s">
        <v>18</v>
      </c>
      <c r="B86" s="5" t="s">
        <v>123</v>
      </c>
      <c r="C86" s="5" t="s">
        <v>129</v>
      </c>
      <c r="D86" s="6">
        <v>443</v>
      </c>
      <c r="E86" s="5">
        <v>3</v>
      </c>
      <c r="F86" s="6">
        <v>58</v>
      </c>
      <c r="G86" s="5">
        <v>23</v>
      </c>
    </row>
    <row r="87" spans="1:7">
      <c r="A87" s="5" t="s">
        <v>18</v>
      </c>
      <c r="B87" s="5" t="s">
        <v>126</v>
      </c>
      <c r="C87" s="5" t="s">
        <v>129</v>
      </c>
      <c r="D87" s="6">
        <v>680</v>
      </c>
      <c r="E87" s="5">
        <v>9</v>
      </c>
      <c r="F87" s="6">
        <v>84</v>
      </c>
      <c r="G87" s="5">
        <v>29</v>
      </c>
    </row>
  </sheetData>
  <mergeCells count="2">
    <mergeCell ref="D2:E2"/>
    <mergeCell ref="F2:G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05"/>
  <sheetViews>
    <sheetView workbookViewId="0">
      <pane ySplit="5" topLeftCell="A6" activePane="bottomLeft" state="frozen"/>
      <selection pane="bottomLeft" activeCell="B7" sqref="B7"/>
    </sheetView>
  </sheetViews>
  <sheetFormatPr defaultColWidth="12.6640625" defaultRowHeight="15.75" customHeight="1"/>
  <cols>
    <col min="2" max="2" width="23.109375" customWidth="1"/>
  </cols>
  <sheetData>
    <row r="1" spans="1:4">
      <c r="B1" s="27" t="s">
        <v>130</v>
      </c>
      <c r="C1" s="1">
        <v>84000</v>
      </c>
      <c r="D1" s="1" t="s">
        <v>131</v>
      </c>
    </row>
    <row r="2" spans="1:4">
      <c r="B2" s="27" t="s">
        <v>132</v>
      </c>
      <c r="C2" s="1">
        <v>42</v>
      </c>
      <c r="D2" s="1" t="s">
        <v>131</v>
      </c>
    </row>
    <row r="3" spans="1:4">
      <c r="B3" s="1" t="s">
        <v>133</v>
      </c>
      <c r="C3" s="1">
        <f>C1/C2</f>
        <v>2000</v>
      </c>
      <c r="D3" s="1" t="s">
        <v>134</v>
      </c>
    </row>
    <row r="5" spans="1:4">
      <c r="A5" s="26" t="s">
        <v>117</v>
      </c>
      <c r="B5" s="26" t="s">
        <v>135</v>
      </c>
    </row>
    <row r="6" spans="1:4">
      <c r="A6" s="5" t="s">
        <v>15</v>
      </c>
      <c r="B6" s="5">
        <v>9</v>
      </c>
    </row>
    <row r="7" spans="1:4">
      <c r="A7" s="5" t="s">
        <v>16</v>
      </c>
      <c r="B7" s="5">
        <v>1</v>
      </c>
    </row>
    <row r="8" spans="1:4">
      <c r="A8" s="5" t="s">
        <v>17</v>
      </c>
      <c r="B8" s="5">
        <v>4</v>
      </c>
    </row>
    <row r="9" spans="1:4">
      <c r="A9" s="5" t="s">
        <v>18</v>
      </c>
      <c r="B9" s="5">
        <v>9</v>
      </c>
    </row>
    <row r="10" spans="1:4">
      <c r="A10" s="5" t="s">
        <v>19</v>
      </c>
      <c r="B10" s="5">
        <v>2</v>
      </c>
    </row>
    <row r="11" spans="1:4">
      <c r="A11" s="5" t="s">
        <v>20</v>
      </c>
      <c r="B11" s="5">
        <v>8</v>
      </c>
    </row>
    <row r="12" spans="1:4">
      <c r="A12" s="5" t="s">
        <v>21</v>
      </c>
      <c r="B12" s="5">
        <v>5</v>
      </c>
    </row>
    <row r="13" spans="1:4">
      <c r="A13" s="5" t="s">
        <v>22</v>
      </c>
      <c r="B13" s="5">
        <v>5</v>
      </c>
    </row>
    <row r="14" spans="1:4">
      <c r="A14" s="5" t="s">
        <v>23</v>
      </c>
      <c r="B14" s="5">
        <v>12</v>
      </c>
    </row>
    <row r="15" spans="1:4">
      <c r="A15" s="5" t="s">
        <v>24</v>
      </c>
      <c r="B15" s="5">
        <v>5</v>
      </c>
    </row>
    <row r="16" spans="1:4">
      <c r="A16" s="5" t="s">
        <v>25</v>
      </c>
      <c r="B16" s="5">
        <v>11</v>
      </c>
    </row>
    <row r="17" spans="1:2">
      <c r="A17" s="5" t="s">
        <v>26</v>
      </c>
      <c r="B17" s="5">
        <v>3</v>
      </c>
    </row>
    <row r="18" spans="1:2">
      <c r="A18" s="5" t="s">
        <v>27</v>
      </c>
      <c r="B18" s="5">
        <v>5</v>
      </c>
    </row>
    <row r="19" spans="1:2">
      <c r="A19" s="5" t="s">
        <v>28</v>
      </c>
      <c r="B19" s="5">
        <v>2</v>
      </c>
    </row>
    <row r="20" spans="1:2">
      <c r="A20" s="5" t="s">
        <v>29</v>
      </c>
      <c r="B20" s="5">
        <v>8</v>
      </c>
    </row>
    <row r="21" spans="1:2">
      <c r="A21" s="5" t="s">
        <v>30</v>
      </c>
      <c r="B21" s="5">
        <v>1</v>
      </c>
    </row>
    <row r="22" spans="1:2">
      <c r="A22" s="5" t="s">
        <v>31</v>
      </c>
      <c r="B22" s="5">
        <v>3</v>
      </c>
    </row>
    <row r="23" spans="1:2">
      <c r="A23" s="5" t="s">
        <v>32</v>
      </c>
      <c r="B23" s="5">
        <v>9</v>
      </c>
    </row>
    <row r="24" spans="1:2">
      <c r="A24" s="5" t="s">
        <v>33</v>
      </c>
      <c r="B24" s="5">
        <v>11</v>
      </c>
    </row>
    <row r="25" spans="1:2">
      <c r="A25" s="5" t="s">
        <v>34</v>
      </c>
      <c r="B25" s="5">
        <v>6</v>
      </c>
    </row>
    <row r="26" spans="1:2">
      <c r="A26" s="5" t="s">
        <v>35</v>
      </c>
      <c r="B26" s="5">
        <v>1</v>
      </c>
    </row>
    <row r="27" spans="1:2">
      <c r="A27" s="5" t="s">
        <v>36</v>
      </c>
      <c r="B27" s="5">
        <v>5</v>
      </c>
    </row>
    <row r="28" spans="1:2">
      <c r="A28" s="5" t="s">
        <v>37</v>
      </c>
      <c r="B28" s="5">
        <v>5</v>
      </c>
    </row>
    <row r="29" spans="1:2">
      <c r="A29" s="5" t="s">
        <v>38</v>
      </c>
      <c r="B29" s="5">
        <v>7</v>
      </c>
    </row>
    <row r="30" spans="1:2">
      <c r="A30" s="5" t="s">
        <v>39</v>
      </c>
      <c r="B30" s="5">
        <v>12</v>
      </c>
    </row>
    <row r="31" spans="1:2">
      <c r="A31" s="5" t="s">
        <v>40</v>
      </c>
      <c r="B31" s="5">
        <v>5</v>
      </c>
    </row>
    <row r="32" spans="1:2">
      <c r="A32" s="5" t="s">
        <v>41</v>
      </c>
      <c r="B32" s="5">
        <v>4</v>
      </c>
    </row>
    <row r="33" spans="1:2">
      <c r="A33" s="5" t="s">
        <v>42</v>
      </c>
      <c r="B33" s="5">
        <v>9</v>
      </c>
    </row>
    <row r="34" spans="1:2">
      <c r="A34" s="5" t="s">
        <v>43</v>
      </c>
      <c r="B34" s="5">
        <v>7</v>
      </c>
    </row>
    <row r="35" spans="1:2">
      <c r="A35" s="5" t="s">
        <v>44</v>
      </c>
      <c r="B35" s="5">
        <v>11</v>
      </c>
    </row>
    <row r="36" spans="1:2">
      <c r="A36" s="5" t="s">
        <v>45</v>
      </c>
      <c r="B36" s="5">
        <v>12</v>
      </c>
    </row>
    <row r="37" spans="1:2">
      <c r="A37" s="5" t="s">
        <v>46</v>
      </c>
      <c r="B37" s="5">
        <v>2</v>
      </c>
    </row>
    <row r="38" spans="1:2">
      <c r="A38" s="5" t="s">
        <v>47</v>
      </c>
      <c r="B38" s="5">
        <v>2</v>
      </c>
    </row>
    <row r="39" spans="1:2">
      <c r="A39" s="5" t="s">
        <v>48</v>
      </c>
      <c r="B39" s="5">
        <v>8</v>
      </c>
    </row>
    <row r="40" spans="1:2">
      <c r="A40" s="5" t="s">
        <v>49</v>
      </c>
      <c r="B40" s="5">
        <v>9</v>
      </c>
    </row>
    <row r="41" spans="1:2">
      <c r="A41" s="5" t="s">
        <v>50</v>
      </c>
      <c r="B41" s="5">
        <v>12</v>
      </c>
    </row>
    <row r="42" spans="1:2">
      <c r="A42" s="5" t="s">
        <v>51</v>
      </c>
      <c r="B42" s="5">
        <v>9</v>
      </c>
    </row>
    <row r="43" spans="1:2">
      <c r="A43" s="5" t="s">
        <v>52</v>
      </c>
      <c r="B43" s="5">
        <v>1</v>
      </c>
    </row>
    <row r="44" spans="1:2">
      <c r="A44" s="5" t="s">
        <v>53</v>
      </c>
      <c r="B44" s="5">
        <v>6</v>
      </c>
    </row>
    <row r="45" spans="1:2">
      <c r="A45" s="5" t="s">
        <v>54</v>
      </c>
      <c r="B45" s="5">
        <v>5</v>
      </c>
    </row>
    <row r="46" spans="1:2">
      <c r="A46" s="5" t="s">
        <v>55</v>
      </c>
      <c r="B46" s="5">
        <v>1</v>
      </c>
    </row>
    <row r="47" spans="1:2">
      <c r="A47" s="5" t="s">
        <v>56</v>
      </c>
      <c r="B47" s="5">
        <v>1</v>
      </c>
    </row>
    <row r="48" spans="1:2">
      <c r="A48" s="5" t="s">
        <v>57</v>
      </c>
      <c r="B48" s="5">
        <v>4</v>
      </c>
    </row>
    <row r="49" spans="1:2">
      <c r="A49" s="5" t="s">
        <v>58</v>
      </c>
      <c r="B49" s="5">
        <v>3</v>
      </c>
    </row>
    <row r="50" spans="1:2">
      <c r="A50" s="5" t="s">
        <v>59</v>
      </c>
      <c r="B50" s="5">
        <v>7</v>
      </c>
    </row>
    <row r="51" spans="1:2">
      <c r="A51" s="5" t="s">
        <v>60</v>
      </c>
      <c r="B51" s="5">
        <v>5</v>
      </c>
    </row>
    <row r="52" spans="1:2">
      <c r="A52" s="5" t="s">
        <v>61</v>
      </c>
      <c r="B52" s="5">
        <v>9</v>
      </c>
    </row>
    <row r="53" spans="1:2">
      <c r="A53" s="5" t="s">
        <v>62</v>
      </c>
      <c r="B53" s="5">
        <v>8</v>
      </c>
    </row>
    <row r="54" spans="1:2">
      <c r="A54" s="5" t="s">
        <v>63</v>
      </c>
      <c r="B54" s="5">
        <v>9</v>
      </c>
    </row>
    <row r="55" spans="1:2">
      <c r="A55" s="5" t="s">
        <v>64</v>
      </c>
      <c r="B55" s="5">
        <v>9</v>
      </c>
    </row>
    <row r="56" spans="1:2">
      <c r="A56" s="5" t="s">
        <v>65</v>
      </c>
      <c r="B56" s="5">
        <v>8</v>
      </c>
    </row>
    <row r="57" spans="1:2">
      <c r="A57" s="5" t="s">
        <v>66</v>
      </c>
      <c r="B57" s="5">
        <v>12</v>
      </c>
    </row>
    <row r="58" spans="1:2">
      <c r="A58" s="5" t="s">
        <v>67</v>
      </c>
      <c r="B58" s="5">
        <v>8</v>
      </c>
    </row>
    <row r="59" spans="1:2">
      <c r="A59" s="5" t="s">
        <v>68</v>
      </c>
      <c r="B59" s="5">
        <v>10</v>
      </c>
    </row>
    <row r="60" spans="1:2">
      <c r="A60" s="5" t="s">
        <v>69</v>
      </c>
      <c r="B60" s="5">
        <v>5</v>
      </c>
    </row>
    <row r="61" spans="1:2">
      <c r="A61" s="5" t="s">
        <v>70</v>
      </c>
      <c r="B61" s="5">
        <v>6</v>
      </c>
    </row>
    <row r="62" spans="1:2">
      <c r="A62" s="5" t="s">
        <v>71</v>
      </c>
      <c r="B62" s="5">
        <v>6</v>
      </c>
    </row>
    <row r="63" spans="1:2">
      <c r="A63" s="5" t="s">
        <v>72</v>
      </c>
      <c r="B63" s="5">
        <v>1</v>
      </c>
    </row>
    <row r="64" spans="1:2">
      <c r="A64" s="5" t="s">
        <v>73</v>
      </c>
      <c r="B64" s="5">
        <v>2</v>
      </c>
    </row>
    <row r="65" spans="1:2">
      <c r="A65" s="5" t="s">
        <v>74</v>
      </c>
      <c r="B65" s="5">
        <v>2</v>
      </c>
    </row>
    <row r="66" spans="1:2">
      <c r="A66" s="5" t="s">
        <v>75</v>
      </c>
      <c r="B66" s="5">
        <v>7</v>
      </c>
    </row>
    <row r="67" spans="1:2">
      <c r="A67" s="5" t="s">
        <v>76</v>
      </c>
      <c r="B67" s="5">
        <v>1</v>
      </c>
    </row>
    <row r="68" spans="1:2">
      <c r="A68" s="5" t="s">
        <v>77</v>
      </c>
      <c r="B68" s="5">
        <v>7</v>
      </c>
    </row>
    <row r="69" spans="1:2">
      <c r="A69" s="5" t="s">
        <v>78</v>
      </c>
      <c r="B69" s="5">
        <v>8</v>
      </c>
    </row>
    <row r="70" spans="1:2">
      <c r="A70" s="5" t="s">
        <v>79</v>
      </c>
      <c r="B70" s="5">
        <v>11</v>
      </c>
    </row>
    <row r="71" spans="1:2">
      <c r="A71" s="5" t="s">
        <v>80</v>
      </c>
      <c r="B71" s="5">
        <v>11</v>
      </c>
    </row>
    <row r="72" spans="1:2">
      <c r="A72" s="5" t="s">
        <v>81</v>
      </c>
      <c r="B72" s="5">
        <v>12</v>
      </c>
    </row>
    <row r="73" spans="1:2">
      <c r="A73" s="5" t="s">
        <v>82</v>
      </c>
      <c r="B73" s="5">
        <v>1</v>
      </c>
    </row>
    <row r="74" spans="1:2">
      <c r="A74" s="5" t="s">
        <v>83</v>
      </c>
      <c r="B74" s="5">
        <v>4</v>
      </c>
    </row>
    <row r="75" spans="1:2">
      <c r="A75" s="5" t="s">
        <v>84</v>
      </c>
      <c r="B75" s="5">
        <v>2</v>
      </c>
    </row>
    <row r="76" spans="1:2">
      <c r="A76" s="5" t="s">
        <v>85</v>
      </c>
      <c r="B76" s="5">
        <v>3</v>
      </c>
    </row>
    <row r="77" spans="1:2">
      <c r="A77" s="5" t="s">
        <v>86</v>
      </c>
      <c r="B77" s="5">
        <v>1</v>
      </c>
    </row>
    <row r="78" spans="1:2">
      <c r="A78" s="5" t="s">
        <v>87</v>
      </c>
      <c r="B78" s="5">
        <v>4</v>
      </c>
    </row>
    <row r="79" spans="1:2">
      <c r="A79" s="5" t="s">
        <v>88</v>
      </c>
      <c r="B79" s="5">
        <v>4</v>
      </c>
    </row>
    <row r="80" spans="1:2">
      <c r="A80" s="5" t="s">
        <v>89</v>
      </c>
      <c r="B80" s="5">
        <v>2</v>
      </c>
    </row>
    <row r="81" spans="1:2">
      <c r="A81" s="5" t="s">
        <v>90</v>
      </c>
      <c r="B81" s="5">
        <v>10</v>
      </c>
    </row>
    <row r="82" spans="1:2">
      <c r="A82" s="5" t="s">
        <v>91</v>
      </c>
      <c r="B82" s="5">
        <v>6</v>
      </c>
    </row>
    <row r="83" spans="1:2">
      <c r="A83" s="5" t="s">
        <v>92</v>
      </c>
      <c r="B83" s="5">
        <v>2</v>
      </c>
    </row>
    <row r="84" spans="1:2">
      <c r="A84" s="5" t="s">
        <v>93</v>
      </c>
      <c r="B84" s="5">
        <v>4</v>
      </c>
    </row>
    <row r="85" spans="1:2">
      <c r="A85" s="5" t="s">
        <v>94</v>
      </c>
      <c r="B85" s="5">
        <v>2</v>
      </c>
    </row>
    <row r="86" spans="1:2">
      <c r="A86" s="5" t="s">
        <v>95</v>
      </c>
      <c r="B86" s="5">
        <v>1</v>
      </c>
    </row>
    <row r="87" spans="1:2">
      <c r="A87" s="5" t="s">
        <v>96</v>
      </c>
      <c r="B87" s="5">
        <v>1</v>
      </c>
    </row>
    <row r="88" spans="1:2">
      <c r="A88" s="5" t="s">
        <v>97</v>
      </c>
      <c r="B88" s="5">
        <v>9</v>
      </c>
    </row>
    <row r="89" spans="1:2">
      <c r="A89" s="5" t="s">
        <v>98</v>
      </c>
      <c r="B89" s="5">
        <v>10</v>
      </c>
    </row>
    <row r="90" spans="1:2">
      <c r="A90" s="5" t="s">
        <v>99</v>
      </c>
      <c r="B90" s="5">
        <v>8</v>
      </c>
    </row>
    <row r="91" spans="1:2">
      <c r="A91" s="5" t="s">
        <v>100</v>
      </c>
      <c r="B91" s="5">
        <v>4</v>
      </c>
    </row>
    <row r="92" spans="1:2">
      <c r="A92" s="5" t="s">
        <v>101</v>
      </c>
      <c r="B92" s="5">
        <v>2</v>
      </c>
    </row>
    <row r="93" spans="1:2">
      <c r="A93" s="5" t="s">
        <v>102</v>
      </c>
      <c r="B93" s="5">
        <v>8</v>
      </c>
    </row>
    <row r="94" spans="1:2">
      <c r="A94" s="5" t="s">
        <v>103</v>
      </c>
      <c r="B94" s="5">
        <v>7</v>
      </c>
    </row>
    <row r="95" spans="1:2">
      <c r="A95" s="5" t="s">
        <v>104</v>
      </c>
      <c r="B95" s="5">
        <v>11</v>
      </c>
    </row>
    <row r="96" spans="1:2">
      <c r="A96" s="5" t="s">
        <v>105</v>
      </c>
      <c r="B96" s="5">
        <v>4</v>
      </c>
    </row>
    <row r="97" spans="1:2">
      <c r="A97" s="5" t="s">
        <v>106</v>
      </c>
      <c r="B97" s="5">
        <v>8</v>
      </c>
    </row>
    <row r="98" spans="1:2">
      <c r="A98" s="5" t="s">
        <v>107</v>
      </c>
      <c r="B98" s="5">
        <v>3</v>
      </c>
    </row>
    <row r="99" spans="1:2">
      <c r="A99" s="5" t="s">
        <v>108</v>
      </c>
      <c r="B99" s="5">
        <v>4</v>
      </c>
    </row>
    <row r="100" spans="1:2">
      <c r="A100" s="5" t="s">
        <v>109</v>
      </c>
      <c r="B100" s="5">
        <v>5</v>
      </c>
    </row>
    <row r="101" spans="1:2">
      <c r="A101" s="5" t="s">
        <v>110</v>
      </c>
      <c r="B101" s="5">
        <v>2</v>
      </c>
    </row>
    <row r="102" spans="1:2">
      <c r="A102" s="5" t="s">
        <v>111</v>
      </c>
      <c r="B102" s="5">
        <v>12</v>
      </c>
    </row>
    <row r="103" spans="1:2">
      <c r="A103" s="5" t="s">
        <v>112</v>
      </c>
      <c r="B103" s="5">
        <v>9</v>
      </c>
    </row>
    <row r="104" spans="1:2">
      <c r="A104" s="5" t="s">
        <v>113</v>
      </c>
      <c r="B104" s="5">
        <v>8</v>
      </c>
    </row>
    <row r="105" spans="1:2">
      <c r="A105" s="5" t="s">
        <v>114</v>
      </c>
      <c r="B105" s="5">
        <v>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V985"/>
  <sheetViews>
    <sheetView workbookViewId="0">
      <selection activeCell="A6" sqref="A6"/>
    </sheetView>
  </sheetViews>
  <sheetFormatPr defaultColWidth="12.6640625" defaultRowHeight="15.75" customHeight="1"/>
  <cols>
    <col min="1" max="1" width="72.6640625" customWidth="1"/>
  </cols>
  <sheetData>
    <row r="1" spans="1:22" ht="30" customHeight="1">
      <c r="A1" s="28" t="s">
        <v>136</v>
      </c>
      <c r="B1" s="29"/>
      <c r="C1" s="29"/>
      <c r="D1" s="29"/>
      <c r="E1" s="29"/>
      <c r="F1" s="29"/>
      <c r="G1" s="29"/>
      <c r="H1" s="29"/>
      <c r="I1" s="29"/>
      <c r="J1" s="29"/>
      <c r="K1" s="29"/>
      <c r="L1" s="29"/>
      <c r="M1" s="29"/>
      <c r="N1" s="29"/>
      <c r="O1" s="29"/>
      <c r="P1" s="29"/>
      <c r="Q1" s="29"/>
      <c r="R1" s="29"/>
      <c r="S1" s="29"/>
      <c r="T1" s="29"/>
      <c r="U1" s="29"/>
      <c r="V1" s="29"/>
    </row>
    <row r="2" spans="1:22" ht="83.25" customHeight="1">
      <c r="A2" s="30" t="s">
        <v>139</v>
      </c>
      <c r="B2" s="31"/>
      <c r="C2" s="31"/>
      <c r="D2" s="31"/>
      <c r="E2" s="31"/>
      <c r="F2" s="31"/>
      <c r="G2" s="31"/>
      <c r="H2" s="31"/>
      <c r="I2" s="31"/>
      <c r="J2" s="31"/>
      <c r="K2" s="31"/>
      <c r="L2" s="31"/>
      <c r="M2" s="31"/>
      <c r="N2" s="31"/>
      <c r="O2" s="31"/>
      <c r="P2" s="31"/>
      <c r="Q2" s="31"/>
      <c r="R2" s="31"/>
      <c r="S2" s="31"/>
      <c r="T2" s="31"/>
      <c r="U2" s="31"/>
      <c r="V2" s="31"/>
    </row>
    <row r="3" spans="1:22" ht="30" customHeight="1">
      <c r="A3" s="28" t="s">
        <v>137</v>
      </c>
      <c r="B3" s="29"/>
      <c r="C3" s="29"/>
      <c r="D3" s="29"/>
      <c r="E3" s="29"/>
      <c r="F3" s="29"/>
      <c r="G3" s="29"/>
      <c r="H3" s="29"/>
      <c r="I3" s="29"/>
      <c r="J3" s="29"/>
      <c r="K3" s="29"/>
      <c r="L3" s="29"/>
      <c r="M3" s="29"/>
      <c r="N3" s="29"/>
      <c r="O3" s="29"/>
      <c r="P3" s="29"/>
      <c r="Q3" s="29"/>
      <c r="R3" s="29"/>
      <c r="S3" s="29"/>
      <c r="T3" s="29"/>
      <c r="U3" s="29"/>
      <c r="V3" s="29"/>
    </row>
    <row r="4" spans="1:22" ht="223.5" customHeight="1">
      <c r="A4" s="34" t="s">
        <v>141</v>
      </c>
    </row>
    <row r="5" spans="1:22" ht="30" customHeight="1">
      <c r="A5" s="32" t="s">
        <v>138</v>
      </c>
    </row>
    <row r="6" spans="1:22" ht="85.5" customHeight="1">
      <c r="A6" s="33" t="s">
        <v>140</v>
      </c>
    </row>
    <row r="7" spans="1:22" ht="13.2">
      <c r="A7" s="33"/>
    </row>
    <row r="8" spans="1:22" ht="13.2">
      <c r="A8" s="33"/>
    </row>
    <row r="9" spans="1:22" ht="13.2">
      <c r="A9" s="33"/>
    </row>
    <row r="10" spans="1:22" ht="13.2">
      <c r="A10" s="33"/>
    </row>
    <row r="11" spans="1:22" ht="13.2">
      <c r="A11" s="33"/>
    </row>
    <row r="12" spans="1:22" ht="13.2">
      <c r="A12" s="33"/>
    </row>
    <row r="13" spans="1:22" ht="13.2">
      <c r="A13" s="33"/>
    </row>
    <row r="14" spans="1:22" ht="13.2">
      <c r="A14" s="33"/>
    </row>
    <row r="15" spans="1:22" ht="13.2">
      <c r="A15" s="33"/>
    </row>
    <row r="16" spans="1:22" ht="13.2">
      <c r="A16" s="33"/>
    </row>
    <row r="17" spans="1:1" ht="13.2">
      <c r="A17" s="33"/>
    </row>
    <row r="18" spans="1:1" ht="13.2">
      <c r="A18" s="33"/>
    </row>
    <row r="19" spans="1:1" ht="13.2">
      <c r="A19" s="33"/>
    </row>
    <row r="20" spans="1:1" ht="13.2">
      <c r="A20" s="33"/>
    </row>
    <row r="21" spans="1:1" ht="13.2">
      <c r="A21" s="33"/>
    </row>
    <row r="22" spans="1:1" ht="13.2">
      <c r="A22" s="33"/>
    </row>
    <row r="23" spans="1:1" ht="13.2">
      <c r="A23" s="33"/>
    </row>
    <row r="24" spans="1:1" ht="13.2">
      <c r="A24" s="33"/>
    </row>
    <row r="25" spans="1:1" ht="13.2">
      <c r="A25" s="33"/>
    </row>
    <row r="26" spans="1:1" ht="13.2">
      <c r="A26" s="33"/>
    </row>
    <row r="27" spans="1:1" ht="13.2">
      <c r="A27" s="33"/>
    </row>
    <row r="28" spans="1:1" ht="13.2">
      <c r="A28" s="33"/>
    </row>
    <row r="29" spans="1:1" ht="13.2">
      <c r="A29" s="33"/>
    </row>
    <row r="30" spans="1:1" ht="13.2">
      <c r="A30" s="33"/>
    </row>
    <row r="31" spans="1:1" ht="13.2">
      <c r="A31" s="33"/>
    </row>
    <row r="32" spans="1:1" ht="13.2">
      <c r="A32" s="33"/>
    </row>
    <row r="33" spans="1:1" ht="13.2">
      <c r="A33" s="33"/>
    </row>
    <row r="34" spans="1:1" ht="13.2">
      <c r="A34" s="33"/>
    </row>
    <row r="35" spans="1:1" ht="13.2">
      <c r="A35" s="33"/>
    </row>
    <row r="36" spans="1:1" ht="13.2">
      <c r="A36" s="33"/>
    </row>
    <row r="37" spans="1:1" ht="13.2">
      <c r="A37" s="33"/>
    </row>
    <row r="38" spans="1:1" ht="13.2">
      <c r="A38" s="33"/>
    </row>
    <row r="39" spans="1:1" ht="13.2">
      <c r="A39" s="33"/>
    </row>
    <row r="40" spans="1:1" ht="13.2">
      <c r="A40" s="33"/>
    </row>
    <row r="41" spans="1:1" ht="13.2">
      <c r="A41" s="33"/>
    </row>
    <row r="42" spans="1:1" ht="13.2">
      <c r="A42" s="33"/>
    </row>
    <row r="43" spans="1:1" ht="13.2">
      <c r="A43" s="33"/>
    </row>
    <row r="44" spans="1:1" ht="13.2">
      <c r="A44" s="33"/>
    </row>
    <row r="45" spans="1:1" ht="13.2">
      <c r="A45" s="33"/>
    </row>
    <row r="46" spans="1:1" ht="13.2">
      <c r="A46" s="33"/>
    </row>
    <row r="47" spans="1:1" ht="13.2">
      <c r="A47" s="33"/>
    </row>
    <row r="48" spans="1:1" ht="13.2">
      <c r="A48" s="33"/>
    </row>
    <row r="49" spans="1:1" ht="13.2">
      <c r="A49" s="33"/>
    </row>
    <row r="50" spans="1:1" ht="13.2">
      <c r="A50" s="33"/>
    </row>
    <row r="51" spans="1:1" ht="13.2">
      <c r="A51" s="33"/>
    </row>
    <row r="52" spans="1:1" ht="13.2">
      <c r="A52" s="33"/>
    </row>
    <row r="53" spans="1:1" ht="13.2">
      <c r="A53" s="33"/>
    </row>
    <row r="54" spans="1:1" ht="13.2">
      <c r="A54" s="33"/>
    </row>
    <row r="55" spans="1:1" ht="13.2">
      <c r="A55" s="33"/>
    </row>
    <row r="56" spans="1:1" ht="13.2">
      <c r="A56" s="33"/>
    </row>
    <row r="57" spans="1:1" ht="13.2">
      <c r="A57" s="33"/>
    </row>
    <row r="58" spans="1:1" ht="13.2">
      <c r="A58" s="33"/>
    </row>
    <row r="59" spans="1:1" ht="13.2">
      <c r="A59" s="33"/>
    </row>
    <row r="60" spans="1:1" ht="13.2">
      <c r="A60" s="33"/>
    </row>
    <row r="61" spans="1:1" ht="13.2">
      <c r="A61" s="33"/>
    </row>
    <row r="62" spans="1:1" ht="13.2">
      <c r="A62" s="33"/>
    </row>
    <row r="63" spans="1:1" ht="13.2">
      <c r="A63" s="33"/>
    </row>
    <row r="64" spans="1:1" ht="13.2">
      <c r="A64" s="33"/>
    </row>
    <row r="65" spans="1:1" ht="13.2">
      <c r="A65" s="33"/>
    </row>
    <row r="66" spans="1:1" ht="13.2">
      <c r="A66" s="33"/>
    </row>
    <row r="67" spans="1:1" ht="13.2">
      <c r="A67" s="33"/>
    </row>
    <row r="68" spans="1:1" ht="13.2">
      <c r="A68" s="33"/>
    </row>
    <row r="69" spans="1:1" ht="13.2">
      <c r="A69" s="33"/>
    </row>
    <row r="70" spans="1:1" ht="13.2">
      <c r="A70" s="33"/>
    </row>
    <row r="71" spans="1:1" ht="13.2">
      <c r="A71" s="33"/>
    </row>
    <row r="72" spans="1:1" ht="13.2">
      <c r="A72" s="33"/>
    </row>
    <row r="73" spans="1:1" ht="13.2">
      <c r="A73" s="33"/>
    </row>
    <row r="74" spans="1:1" ht="13.2">
      <c r="A74" s="33"/>
    </row>
    <row r="75" spans="1:1" ht="13.2">
      <c r="A75" s="33"/>
    </row>
    <row r="76" spans="1:1" ht="13.2">
      <c r="A76" s="33"/>
    </row>
    <row r="77" spans="1:1" ht="13.2">
      <c r="A77" s="33"/>
    </row>
    <row r="78" spans="1:1" ht="13.2">
      <c r="A78" s="33"/>
    </row>
    <row r="79" spans="1:1" ht="13.2">
      <c r="A79" s="33"/>
    </row>
    <row r="80" spans="1:1" ht="13.2">
      <c r="A80" s="33"/>
    </row>
    <row r="81" spans="1:1" ht="13.2">
      <c r="A81" s="33"/>
    </row>
    <row r="82" spans="1:1" ht="13.2">
      <c r="A82" s="33"/>
    </row>
    <row r="83" spans="1:1" ht="13.2">
      <c r="A83" s="33"/>
    </row>
    <row r="84" spans="1:1" ht="13.2">
      <c r="A84" s="33"/>
    </row>
    <row r="85" spans="1:1" ht="13.2">
      <c r="A85" s="33"/>
    </row>
    <row r="86" spans="1:1" ht="13.2">
      <c r="A86" s="33"/>
    </row>
    <row r="87" spans="1:1" ht="13.2">
      <c r="A87" s="33"/>
    </row>
    <row r="88" spans="1:1" ht="13.2">
      <c r="A88" s="33"/>
    </row>
    <row r="89" spans="1:1" ht="13.2">
      <c r="A89" s="33"/>
    </row>
    <row r="90" spans="1:1" ht="13.2">
      <c r="A90" s="33"/>
    </row>
    <row r="91" spans="1:1" ht="13.2">
      <c r="A91" s="33"/>
    </row>
    <row r="92" spans="1:1" ht="13.2">
      <c r="A92" s="33"/>
    </row>
    <row r="93" spans="1:1" ht="13.2">
      <c r="A93" s="33"/>
    </row>
    <row r="94" spans="1:1" ht="13.2">
      <c r="A94" s="33"/>
    </row>
    <row r="95" spans="1:1" ht="13.2">
      <c r="A95" s="33"/>
    </row>
    <row r="96" spans="1:1" ht="13.2">
      <c r="A96" s="33"/>
    </row>
    <row r="97" spans="1:1" ht="13.2">
      <c r="A97" s="33"/>
    </row>
    <row r="98" spans="1:1" ht="13.2">
      <c r="A98" s="33"/>
    </row>
    <row r="99" spans="1:1" ht="13.2">
      <c r="A99" s="33"/>
    </row>
    <row r="100" spans="1:1" ht="13.2">
      <c r="A100" s="33"/>
    </row>
    <row r="101" spans="1:1" ht="13.2">
      <c r="A101" s="33"/>
    </row>
    <row r="102" spans="1:1" ht="13.2">
      <c r="A102" s="33"/>
    </row>
    <row r="103" spans="1:1" ht="13.2">
      <c r="A103" s="33"/>
    </row>
    <row r="104" spans="1:1" ht="13.2">
      <c r="A104" s="33"/>
    </row>
    <row r="105" spans="1:1" ht="13.2">
      <c r="A105" s="33"/>
    </row>
    <row r="106" spans="1:1" ht="13.2">
      <c r="A106" s="33"/>
    </row>
    <row r="107" spans="1:1" ht="13.2">
      <c r="A107" s="33"/>
    </row>
    <row r="108" spans="1:1" ht="13.2">
      <c r="A108" s="33"/>
    </row>
    <row r="109" spans="1:1" ht="13.2">
      <c r="A109" s="33"/>
    </row>
    <row r="110" spans="1:1" ht="13.2">
      <c r="A110" s="33"/>
    </row>
    <row r="111" spans="1:1" ht="13.2">
      <c r="A111" s="33"/>
    </row>
    <row r="112" spans="1:1" ht="13.2">
      <c r="A112" s="33"/>
    </row>
    <row r="113" spans="1:1" ht="13.2">
      <c r="A113" s="33"/>
    </row>
    <row r="114" spans="1:1" ht="13.2">
      <c r="A114" s="33"/>
    </row>
    <row r="115" spans="1:1" ht="13.2">
      <c r="A115" s="33"/>
    </row>
    <row r="116" spans="1:1" ht="13.2">
      <c r="A116" s="33"/>
    </row>
    <row r="117" spans="1:1" ht="13.2">
      <c r="A117" s="33"/>
    </row>
    <row r="118" spans="1:1" ht="13.2">
      <c r="A118" s="33"/>
    </row>
    <row r="119" spans="1:1" ht="13.2">
      <c r="A119" s="33"/>
    </row>
    <row r="120" spans="1:1" ht="13.2">
      <c r="A120" s="33"/>
    </row>
    <row r="121" spans="1:1" ht="13.2">
      <c r="A121" s="33"/>
    </row>
    <row r="122" spans="1:1" ht="13.2">
      <c r="A122" s="33"/>
    </row>
    <row r="123" spans="1:1" ht="13.2">
      <c r="A123" s="33"/>
    </row>
    <row r="124" spans="1:1" ht="13.2">
      <c r="A124" s="33"/>
    </row>
    <row r="125" spans="1:1" ht="13.2">
      <c r="A125" s="33"/>
    </row>
    <row r="126" spans="1:1" ht="13.2">
      <c r="A126" s="33"/>
    </row>
    <row r="127" spans="1:1" ht="13.2">
      <c r="A127" s="33"/>
    </row>
    <row r="128" spans="1:1" ht="13.2">
      <c r="A128" s="33"/>
    </row>
    <row r="129" spans="1:1" ht="13.2">
      <c r="A129" s="33"/>
    </row>
    <row r="130" spans="1:1" ht="13.2">
      <c r="A130" s="33"/>
    </row>
    <row r="131" spans="1:1" ht="13.2">
      <c r="A131" s="33"/>
    </row>
    <row r="132" spans="1:1" ht="13.2">
      <c r="A132" s="33"/>
    </row>
    <row r="133" spans="1:1" ht="13.2">
      <c r="A133" s="33"/>
    </row>
    <row r="134" spans="1:1" ht="13.2">
      <c r="A134" s="33"/>
    </row>
    <row r="135" spans="1:1" ht="13.2">
      <c r="A135" s="33"/>
    </row>
    <row r="136" spans="1:1" ht="13.2">
      <c r="A136" s="33"/>
    </row>
    <row r="137" spans="1:1" ht="13.2">
      <c r="A137" s="33"/>
    </row>
    <row r="138" spans="1:1" ht="13.2">
      <c r="A138" s="33"/>
    </row>
    <row r="139" spans="1:1" ht="13.2">
      <c r="A139" s="33"/>
    </row>
    <row r="140" spans="1:1" ht="13.2">
      <c r="A140" s="33"/>
    </row>
    <row r="141" spans="1:1" ht="13.2">
      <c r="A141" s="33"/>
    </row>
    <row r="142" spans="1:1" ht="13.2">
      <c r="A142" s="33"/>
    </row>
    <row r="143" spans="1:1" ht="13.2">
      <c r="A143" s="33"/>
    </row>
    <row r="144" spans="1:1" ht="13.2">
      <c r="A144" s="33"/>
    </row>
    <row r="145" spans="1:1" ht="13.2">
      <c r="A145" s="33"/>
    </row>
    <row r="146" spans="1:1" ht="13.2">
      <c r="A146" s="33"/>
    </row>
    <row r="147" spans="1:1" ht="13.2">
      <c r="A147" s="33"/>
    </row>
    <row r="148" spans="1:1" ht="13.2">
      <c r="A148" s="33"/>
    </row>
    <row r="149" spans="1:1" ht="13.2">
      <c r="A149" s="33"/>
    </row>
    <row r="150" spans="1:1" ht="13.2">
      <c r="A150" s="33"/>
    </row>
    <row r="151" spans="1:1" ht="13.2">
      <c r="A151" s="33"/>
    </row>
    <row r="152" spans="1:1" ht="13.2">
      <c r="A152" s="33"/>
    </row>
    <row r="153" spans="1:1" ht="13.2">
      <c r="A153" s="33"/>
    </row>
    <row r="154" spans="1:1" ht="13.2">
      <c r="A154" s="33"/>
    </row>
    <row r="155" spans="1:1" ht="13.2">
      <c r="A155" s="33"/>
    </row>
    <row r="156" spans="1:1" ht="13.2">
      <c r="A156" s="33"/>
    </row>
    <row r="157" spans="1:1" ht="13.2">
      <c r="A157" s="33"/>
    </row>
    <row r="158" spans="1:1" ht="13.2">
      <c r="A158" s="33"/>
    </row>
    <row r="159" spans="1:1" ht="13.2">
      <c r="A159" s="33"/>
    </row>
    <row r="160" spans="1:1" ht="13.2">
      <c r="A160" s="33"/>
    </row>
    <row r="161" spans="1:1" ht="13.2">
      <c r="A161" s="33"/>
    </row>
    <row r="162" spans="1:1" ht="13.2">
      <c r="A162" s="33"/>
    </row>
    <row r="163" spans="1:1" ht="13.2">
      <c r="A163" s="33"/>
    </row>
    <row r="164" spans="1:1" ht="13.2">
      <c r="A164" s="33"/>
    </row>
    <row r="165" spans="1:1" ht="13.2">
      <c r="A165" s="33"/>
    </row>
    <row r="166" spans="1:1" ht="13.2">
      <c r="A166" s="33"/>
    </row>
    <row r="167" spans="1:1" ht="13.2">
      <c r="A167" s="33"/>
    </row>
    <row r="168" spans="1:1" ht="13.2">
      <c r="A168" s="33"/>
    </row>
    <row r="169" spans="1:1" ht="13.2">
      <c r="A169" s="33"/>
    </row>
    <row r="170" spans="1:1" ht="13.2">
      <c r="A170" s="33"/>
    </row>
    <row r="171" spans="1:1" ht="13.2">
      <c r="A171" s="33"/>
    </row>
    <row r="172" spans="1:1" ht="13.2">
      <c r="A172" s="33"/>
    </row>
    <row r="173" spans="1:1" ht="13.2">
      <c r="A173" s="33"/>
    </row>
    <row r="174" spans="1:1" ht="13.2">
      <c r="A174" s="33"/>
    </row>
    <row r="175" spans="1:1" ht="13.2">
      <c r="A175" s="33"/>
    </row>
    <row r="176" spans="1:1" ht="13.2">
      <c r="A176" s="33"/>
    </row>
    <row r="177" spans="1:1" ht="13.2">
      <c r="A177" s="33"/>
    </row>
    <row r="178" spans="1:1" ht="13.2">
      <c r="A178" s="33"/>
    </row>
    <row r="179" spans="1:1" ht="13.2">
      <c r="A179" s="33"/>
    </row>
    <row r="180" spans="1:1" ht="13.2">
      <c r="A180" s="33"/>
    </row>
    <row r="181" spans="1:1" ht="13.2">
      <c r="A181" s="33"/>
    </row>
    <row r="182" spans="1:1" ht="13.2">
      <c r="A182" s="33"/>
    </row>
    <row r="183" spans="1:1" ht="13.2">
      <c r="A183" s="33"/>
    </row>
    <row r="184" spans="1:1" ht="13.2">
      <c r="A184" s="33"/>
    </row>
    <row r="185" spans="1:1" ht="13.2">
      <c r="A185" s="33"/>
    </row>
    <row r="186" spans="1:1" ht="13.2">
      <c r="A186" s="33"/>
    </row>
    <row r="187" spans="1:1" ht="13.2">
      <c r="A187" s="33"/>
    </row>
    <row r="188" spans="1:1" ht="13.2">
      <c r="A188" s="33"/>
    </row>
    <row r="189" spans="1:1" ht="13.2">
      <c r="A189" s="33"/>
    </row>
    <row r="190" spans="1:1" ht="13.2">
      <c r="A190" s="33"/>
    </row>
    <row r="191" spans="1:1" ht="13.2">
      <c r="A191" s="33"/>
    </row>
    <row r="192" spans="1:1" ht="13.2">
      <c r="A192" s="33"/>
    </row>
    <row r="193" spans="1:1" ht="13.2">
      <c r="A193" s="33"/>
    </row>
    <row r="194" spans="1:1" ht="13.2">
      <c r="A194" s="33"/>
    </row>
    <row r="195" spans="1:1" ht="13.2">
      <c r="A195" s="33"/>
    </row>
    <row r="196" spans="1:1" ht="13.2">
      <c r="A196" s="33"/>
    </row>
    <row r="197" spans="1:1" ht="13.2">
      <c r="A197" s="33"/>
    </row>
    <row r="198" spans="1:1" ht="13.2">
      <c r="A198" s="33"/>
    </row>
    <row r="199" spans="1:1" ht="13.2">
      <c r="A199" s="33"/>
    </row>
    <row r="200" spans="1:1" ht="13.2">
      <c r="A200" s="33"/>
    </row>
    <row r="201" spans="1:1" ht="13.2">
      <c r="A201" s="33"/>
    </row>
    <row r="202" spans="1:1" ht="13.2">
      <c r="A202" s="33"/>
    </row>
    <row r="203" spans="1:1" ht="13.2">
      <c r="A203" s="33"/>
    </row>
    <row r="204" spans="1:1" ht="13.2">
      <c r="A204" s="33"/>
    </row>
    <row r="205" spans="1:1" ht="13.2">
      <c r="A205" s="33"/>
    </row>
    <row r="206" spans="1:1" ht="13.2">
      <c r="A206" s="33"/>
    </row>
    <row r="207" spans="1:1" ht="13.2">
      <c r="A207" s="33"/>
    </row>
    <row r="208" spans="1:1" ht="13.2">
      <c r="A208" s="33"/>
    </row>
    <row r="209" spans="1:1" ht="13.2">
      <c r="A209" s="33"/>
    </row>
    <row r="210" spans="1:1" ht="13.2">
      <c r="A210" s="33"/>
    </row>
    <row r="211" spans="1:1" ht="13.2">
      <c r="A211" s="33"/>
    </row>
    <row r="212" spans="1:1" ht="13.2">
      <c r="A212" s="33"/>
    </row>
    <row r="213" spans="1:1" ht="13.2">
      <c r="A213" s="33"/>
    </row>
    <row r="214" spans="1:1" ht="13.2">
      <c r="A214" s="33"/>
    </row>
    <row r="215" spans="1:1" ht="13.2">
      <c r="A215" s="33"/>
    </row>
    <row r="216" spans="1:1" ht="13.2">
      <c r="A216" s="33"/>
    </row>
    <row r="217" spans="1:1" ht="13.2">
      <c r="A217" s="33"/>
    </row>
    <row r="218" spans="1:1" ht="13.2">
      <c r="A218" s="33"/>
    </row>
    <row r="219" spans="1:1" ht="13.2">
      <c r="A219" s="33"/>
    </row>
    <row r="220" spans="1:1" ht="13.2">
      <c r="A220" s="33"/>
    </row>
    <row r="221" spans="1:1" ht="13.2">
      <c r="A221" s="33"/>
    </row>
    <row r="222" spans="1:1" ht="13.2">
      <c r="A222" s="33"/>
    </row>
    <row r="223" spans="1:1" ht="13.2">
      <c r="A223" s="33"/>
    </row>
    <row r="224" spans="1:1" ht="13.2">
      <c r="A224" s="33"/>
    </row>
    <row r="225" spans="1:1" ht="13.2">
      <c r="A225" s="33"/>
    </row>
    <row r="226" spans="1:1" ht="13.2">
      <c r="A226" s="33"/>
    </row>
    <row r="227" spans="1:1" ht="13.2">
      <c r="A227" s="33"/>
    </row>
    <row r="228" spans="1:1" ht="13.2">
      <c r="A228" s="33"/>
    </row>
    <row r="229" spans="1:1" ht="13.2">
      <c r="A229" s="33"/>
    </row>
    <row r="230" spans="1:1" ht="13.2">
      <c r="A230" s="33"/>
    </row>
    <row r="231" spans="1:1" ht="13.2">
      <c r="A231" s="33"/>
    </row>
    <row r="232" spans="1:1" ht="13.2">
      <c r="A232" s="33"/>
    </row>
    <row r="233" spans="1:1" ht="13.2">
      <c r="A233" s="33"/>
    </row>
    <row r="234" spans="1:1" ht="13.2">
      <c r="A234" s="33"/>
    </row>
    <row r="235" spans="1:1" ht="13.2">
      <c r="A235" s="33"/>
    </row>
    <row r="236" spans="1:1" ht="13.2">
      <c r="A236" s="33"/>
    </row>
    <row r="237" spans="1:1" ht="13.2">
      <c r="A237" s="33"/>
    </row>
    <row r="238" spans="1:1" ht="13.2">
      <c r="A238" s="33"/>
    </row>
    <row r="239" spans="1:1" ht="13.2">
      <c r="A239" s="33"/>
    </row>
    <row r="240" spans="1:1" ht="13.2">
      <c r="A240" s="33"/>
    </row>
    <row r="241" spans="1:1" ht="13.2">
      <c r="A241" s="33"/>
    </row>
    <row r="242" spans="1:1" ht="13.2">
      <c r="A242" s="33"/>
    </row>
    <row r="243" spans="1:1" ht="13.2">
      <c r="A243" s="33"/>
    </row>
    <row r="244" spans="1:1" ht="13.2">
      <c r="A244" s="33"/>
    </row>
    <row r="245" spans="1:1" ht="13.2">
      <c r="A245" s="33"/>
    </row>
    <row r="246" spans="1:1" ht="13.2">
      <c r="A246" s="33"/>
    </row>
    <row r="247" spans="1:1" ht="13.2">
      <c r="A247" s="33"/>
    </row>
    <row r="248" spans="1:1" ht="13.2">
      <c r="A248" s="33"/>
    </row>
    <row r="249" spans="1:1" ht="13.2">
      <c r="A249" s="33"/>
    </row>
    <row r="250" spans="1:1" ht="13.2">
      <c r="A250" s="33"/>
    </row>
    <row r="251" spans="1:1" ht="13.2">
      <c r="A251" s="33"/>
    </row>
    <row r="252" spans="1:1" ht="13.2">
      <c r="A252" s="33"/>
    </row>
    <row r="253" spans="1:1" ht="13.2">
      <c r="A253" s="33"/>
    </row>
    <row r="254" spans="1:1" ht="13.2">
      <c r="A254" s="33"/>
    </row>
    <row r="255" spans="1:1" ht="13.2">
      <c r="A255" s="33"/>
    </row>
    <row r="256" spans="1:1" ht="13.2">
      <c r="A256" s="33"/>
    </row>
    <row r="257" spans="1:1" ht="13.2">
      <c r="A257" s="33"/>
    </row>
    <row r="258" spans="1:1" ht="13.2">
      <c r="A258" s="33"/>
    </row>
    <row r="259" spans="1:1" ht="13.2">
      <c r="A259" s="33"/>
    </row>
    <row r="260" spans="1:1" ht="13.2">
      <c r="A260" s="33"/>
    </row>
    <row r="261" spans="1:1" ht="13.2">
      <c r="A261" s="33"/>
    </row>
    <row r="262" spans="1:1" ht="13.2">
      <c r="A262" s="33"/>
    </row>
    <row r="263" spans="1:1" ht="13.2">
      <c r="A263" s="33"/>
    </row>
    <row r="264" spans="1:1" ht="13.2">
      <c r="A264" s="33"/>
    </row>
    <row r="265" spans="1:1" ht="13.2">
      <c r="A265" s="33"/>
    </row>
    <row r="266" spans="1:1" ht="13.2">
      <c r="A266" s="33"/>
    </row>
    <row r="267" spans="1:1" ht="13.2">
      <c r="A267" s="33"/>
    </row>
    <row r="268" spans="1:1" ht="13.2">
      <c r="A268" s="33"/>
    </row>
    <row r="269" spans="1:1" ht="13.2">
      <c r="A269" s="33"/>
    </row>
    <row r="270" spans="1:1" ht="13.2">
      <c r="A270" s="33"/>
    </row>
    <row r="271" spans="1:1" ht="13.2">
      <c r="A271" s="33"/>
    </row>
    <row r="272" spans="1:1" ht="13.2">
      <c r="A272" s="33"/>
    </row>
    <row r="273" spans="1:1" ht="13.2">
      <c r="A273" s="33"/>
    </row>
    <row r="274" spans="1:1" ht="13.2">
      <c r="A274" s="33"/>
    </row>
    <row r="275" spans="1:1" ht="13.2">
      <c r="A275" s="33"/>
    </row>
    <row r="276" spans="1:1" ht="13.2">
      <c r="A276" s="33"/>
    </row>
    <row r="277" spans="1:1" ht="13.2">
      <c r="A277" s="33"/>
    </row>
    <row r="278" spans="1:1" ht="13.2">
      <c r="A278" s="33"/>
    </row>
    <row r="279" spans="1:1" ht="13.2">
      <c r="A279" s="33"/>
    </row>
    <row r="280" spans="1:1" ht="13.2">
      <c r="A280" s="33"/>
    </row>
    <row r="281" spans="1:1" ht="13.2">
      <c r="A281" s="33"/>
    </row>
    <row r="282" spans="1:1" ht="13.2">
      <c r="A282" s="33"/>
    </row>
    <row r="283" spans="1:1" ht="13.2">
      <c r="A283" s="33"/>
    </row>
    <row r="284" spans="1:1" ht="13.2">
      <c r="A284" s="33"/>
    </row>
    <row r="285" spans="1:1" ht="13.2">
      <c r="A285" s="33"/>
    </row>
    <row r="286" spans="1:1" ht="13.2">
      <c r="A286" s="33"/>
    </row>
    <row r="287" spans="1:1" ht="13.2">
      <c r="A287" s="33"/>
    </row>
    <row r="288" spans="1:1" ht="13.2">
      <c r="A288" s="33"/>
    </row>
    <row r="289" spans="1:1" ht="13.2">
      <c r="A289" s="33"/>
    </row>
    <row r="290" spans="1:1" ht="13.2">
      <c r="A290" s="33"/>
    </row>
    <row r="291" spans="1:1" ht="13.2">
      <c r="A291" s="33"/>
    </row>
    <row r="292" spans="1:1" ht="13.2">
      <c r="A292" s="33"/>
    </row>
    <row r="293" spans="1:1" ht="13.2">
      <c r="A293" s="33"/>
    </row>
    <row r="294" spans="1:1" ht="13.2">
      <c r="A294" s="33"/>
    </row>
    <row r="295" spans="1:1" ht="13.2">
      <c r="A295" s="33"/>
    </row>
    <row r="296" spans="1:1" ht="13.2">
      <c r="A296" s="33"/>
    </row>
    <row r="297" spans="1:1" ht="13.2">
      <c r="A297" s="33"/>
    </row>
    <row r="298" spans="1:1" ht="13.2">
      <c r="A298" s="33"/>
    </row>
    <row r="299" spans="1:1" ht="13.2">
      <c r="A299" s="33"/>
    </row>
    <row r="300" spans="1:1" ht="13.2">
      <c r="A300" s="33"/>
    </row>
    <row r="301" spans="1:1" ht="13.2">
      <c r="A301" s="33"/>
    </row>
    <row r="302" spans="1:1" ht="13.2">
      <c r="A302" s="33"/>
    </row>
    <row r="303" spans="1:1" ht="13.2">
      <c r="A303" s="33"/>
    </row>
    <row r="304" spans="1:1" ht="13.2">
      <c r="A304" s="33"/>
    </row>
    <row r="305" spans="1:1" ht="13.2">
      <c r="A305" s="33"/>
    </row>
    <row r="306" spans="1:1" ht="13.2">
      <c r="A306" s="33"/>
    </row>
    <row r="307" spans="1:1" ht="13.2">
      <c r="A307" s="33"/>
    </row>
    <row r="308" spans="1:1" ht="13.2">
      <c r="A308" s="33"/>
    </row>
    <row r="309" spans="1:1" ht="13.2">
      <c r="A309" s="33"/>
    </row>
    <row r="310" spans="1:1" ht="13.2">
      <c r="A310" s="33"/>
    </row>
    <row r="311" spans="1:1" ht="13.2">
      <c r="A311" s="33"/>
    </row>
    <row r="312" spans="1:1" ht="13.2">
      <c r="A312" s="33"/>
    </row>
    <row r="313" spans="1:1" ht="13.2">
      <c r="A313" s="33"/>
    </row>
    <row r="314" spans="1:1" ht="13.2">
      <c r="A314" s="33"/>
    </row>
    <row r="315" spans="1:1" ht="13.2">
      <c r="A315" s="33"/>
    </row>
    <row r="316" spans="1:1" ht="13.2">
      <c r="A316" s="33"/>
    </row>
    <row r="317" spans="1:1" ht="13.2">
      <c r="A317" s="33"/>
    </row>
    <row r="318" spans="1:1" ht="13.2">
      <c r="A318" s="33"/>
    </row>
    <row r="319" spans="1:1" ht="13.2">
      <c r="A319" s="33"/>
    </row>
    <row r="320" spans="1:1" ht="13.2">
      <c r="A320" s="33"/>
    </row>
    <row r="321" spans="1:1" ht="13.2">
      <c r="A321" s="33"/>
    </row>
    <row r="322" spans="1:1" ht="13.2">
      <c r="A322" s="33"/>
    </row>
    <row r="323" spans="1:1" ht="13.2">
      <c r="A323" s="33"/>
    </row>
    <row r="324" spans="1:1" ht="13.2">
      <c r="A324" s="33"/>
    </row>
    <row r="325" spans="1:1" ht="13.2">
      <c r="A325" s="33"/>
    </row>
    <row r="326" spans="1:1" ht="13.2">
      <c r="A326" s="33"/>
    </row>
    <row r="327" spans="1:1" ht="13.2">
      <c r="A327" s="33"/>
    </row>
    <row r="328" spans="1:1" ht="13.2">
      <c r="A328" s="33"/>
    </row>
    <row r="329" spans="1:1" ht="13.2">
      <c r="A329" s="33"/>
    </row>
    <row r="330" spans="1:1" ht="13.2">
      <c r="A330" s="33"/>
    </row>
    <row r="331" spans="1:1" ht="13.2">
      <c r="A331" s="33"/>
    </row>
    <row r="332" spans="1:1" ht="13.2">
      <c r="A332" s="33"/>
    </row>
    <row r="333" spans="1:1" ht="13.2">
      <c r="A333" s="33"/>
    </row>
    <row r="334" spans="1:1" ht="13.2">
      <c r="A334" s="33"/>
    </row>
    <row r="335" spans="1:1" ht="13.2">
      <c r="A335" s="33"/>
    </row>
    <row r="336" spans="1:1" ht="13.2">
      <c r="A336" s="33"/>
    </row>
    <row r="337" spans="1:1" ht="13.2">
      <c r="A337" s="33"/>
    </row>
    <row r="338" spans="1:1" ht="13.2">
      <c r="A338" s="33"/>
    </row>
    <row r="339" spans="1:1" ht="13.2">
      <c r="A339" s="33"/>
    </row>
    <row r="340" spans="1:1" ht="13.2">
      <c r="A340" s="33"/>
    </row>
    <row r="341" spans="1:1" ht="13.2">
      <c r="A341" s="33"/>
    </row>
    <row r="342" spans="1:1" ht="13.2">
      <c r="A342" s="33"/>
    </row>
    <row r="343" spans="1:1" ht="13.2">
      <c r="A343" s="33"/>
    </row>
    <row r="344" spans="1:1" ht="13.2">
      <c r="A344" s="33"/>
    </row>
    <row r="345" spans="1:1" ht="13.2">
      <c r="A345" s="33"/>
    </row>
    <row r="346" spans="1:1" ht="13.2">
      <c r="A346" s="33"/>
    </row>
    <row r="347" spans="1:1" ht="13.2">
      <c r="A347" s="33"/>
    </row>
    <row r="348" spans="1:1" ht="13.2">
      <c r="A348" s="33"/>
    </row>
    <row r="349" spans="1:1" ht="13.2">
      <c r="A349" s="33"/>
    </row>
    <row r="350" spans="1:1" ht="13.2">
      <c r="A350" s="33"/>
    </row>
    <row r="351" spans="1:1" ht="13.2">
      <c r="A351" s="33"/>
    </row>
    <row r="352" spans="1:1" ht="13.2">
      <c r="A352" s="33"/>
    </row>
    <row r="353" spans="1:1" ht="13.2">
      <c r="A353" s="33"/>
    </row>
    <row r="354" spans="1:1" ht="13.2">
      <c r="A354" s="33"/>
    </row>
    <row r="355" spans="1:1" ht="13.2">
      <c r="A355" s="33"/>
    </row>
    <row r="356" spans="1:1" ht="13.2">
      <c r="A356" s="33"/>
    </row>
    <row r="357" spans="1:1" ht="13.2">
      <c r="A357" s="33"/>
    </row>
    <row r="358" spans="1:1" ht="13.2">
      <c r="A358" s="33"/>
    </row>
    <row r="359" spans="1:1" ht="13.2">
      <c r="A359" s="33"/>
    </row>
    <row r="360" spans="1:1" ht="13.2">
      <c r="A360" s="33"/>
    </row>
    <row r="361" spans="1:1" ht="13.2">
      <c r="A361" s="33"/>
    </row>
    <row r="362" spans="1:1" ht="13.2">
      <c r="A362" s="33"/>
    </row>
    <row r="363" spans="1:1" ht="13.2">
      <c r="A363" s="33"/>
    </row>
    <row r="364" spans="1:1" ht="13.2">
      <c r="A364" s="33"/>
    </row>
    <row r="365" spans="1:1" ht="13.2">
      <c r="A365" s="33"/>
    </row>
    <row r="366" spans="1:1" ht="13.2">
      <c r="A366" s="33"/>
    </row>
    <row r="367" spans="1:1" ht="13.2">
      <c r="A367" s="33"/>
    </row>
    <row r="368" spans="1:1" ht="13.2">
      <c r="A368" s="33"/>
    </row>
    <row r="369" spans="1:1" ht="13.2">
      <c r="A369" s="33"/>
    </row>
    <row r="370" spans="1:1" ht="13.2">
      <c r="A370" s="33"/>
    </row>
    <row r="371" spans="1:1" ht="13.2">
      <c r="A371" s="33"/>
    </row>
    <row r="372" spans="1:1" ht="13.2">
      <c r="A372" s="33"/>
    </row>
    <row r="373" spans="1:1" ht="13.2">
      <c r="A373" s="33"/>
    </row>
    <row r="374" spans="1:1" ht="13.2">
      <c r="A374" s="33"/>
    </row>
    <row r="375" spans="1:1" ht="13.2">
      <c r="A375" s="33"/>
    </row>
    <row r="376" spans="1:1" ht="13.2">
      <c r="A376" s="33"/>
    </row>
    <row r="377" spans="1:1" ht="13.2">
      <c r="A377" s="33"/>
    </row>
    <row r="378" spans="1:1" ht="13.2">
      <c r="A378" s="33"/>
    </row>
    <row r="379" spans="1:1" ht="13.2">
      <c r="A379" s="33"/>
    </row>
    <row r="380" spans="1:1" ht="13.2">
      <c r="A380" s="33"/>
    </row>
    <row r="381" spans="1:1" ht="13.2">
      <c r="A381" s="33"/>
    </row>
    <row r="382" spans="1:1" ht="13.2">
      <c r="A382" s="33"/>
    </row>
    <row r="383" spans="1:1" ht="13.2">
      <c r="A383" s="33"/>
    </row>
    <row r="384" spans="1:1" ht="13.2">
      <c r="A384" s="33"/>
    </row>
    <row r="385" spans="1:1" ht="13.2">
      <c r="A385" s="33"/>
    </row>
    <row r="386" spans="1:1" ht="13.2">
      <c r="A386" s="33"/>
    </row>
    <row r="387" spans="1:1" ht="13.2">
      <c r="A387" s="33"/>
    </row>
    <row r="388" spans="1:1" ht="13.2">
      <c r="A388" s="33"/>
    </row>
    <row r="389" spans="1:1" ht="13.2">
      <c r="A389" s="33"/>
    </row>
    <row r="390" spans="1:1" ht="13.2">
      <c r="A390" s="33"/>
    </row>
    <row r="391" spans="1:1" ht="13.2">
      <c r="A391" s="33"/>
    </row>
    <row r="392" spans="1:1" ht="13.2">
      <c r="A392" s="33"/>
    </row>
    <row r="393" spans="1:1" ht="13.2">
      <c r="A393" s="33"/>
    </row>
    <row r="394" spans="1:1" ht="13.2">
      <c r="A394" s="33"/>
    </row>
    <row r="395" spans="1:1" ht="13.2">
      <c r="A395" s="33"/>
    </row>
    <row r="396" spans="1:1" ht="13.2">
      <c r="A396" s="33"/>
    </row>
    <row r="397" spans="1:1" ht="13.2">
      <c r="A397" s="33"/>
    </row>
    <row r="398" spans="1:1" ht="13.2">
      <c r="A398" s="33"/>
    </row>
    <row r="399" spans="1:1" ht="13.2">
      <c r="A399" s="33"/>
    </row>
    <row r="400" spans="1:1" ht="13.2">
      <c r="A400" s="33"/>
    </row>
    <row r="401" spans="1:1" ht="13.2">
      <c r="A401" s="33"/>
    </row>
    <row r="402" spans="1:1" ht="13.2">
      <c r="A402" s="33"/>
    </row>
    <row r="403" spans="1:1" ht="13.2">
      <c r="A403" s="33"/>
    </row>
    <row r="404" spans="1:1" ht="13.2">
      <c r="A404" s="33"/>
    </row>
    <row r="405" spans="1:1" ht="13.2">
      <c r="A405" s="33"/>
    </row>
    <row r="406" spans="1:1" ht="13.2">
      <c r="A406" s="33"/>
    </row>
    <row r="407" spans="1:1" ht="13.2">
      <c r="A407" s="33"/>
    </row>
    <row r="408" spans="1:1" ht="13.2">
      <c r="A408" s="33"/>
    </row>
    <row r="409" spans="1:1" ht="13.2">
      <c r="A409" s="33"/>
    </row>
    <row r="410" spans="1:1" ht="13.2">
      <c r="A410" s="33"/>
    </row>
    <row r="411" spans="1:1" ht="13.2">
      <c r="A411" s="33"/>
    </row>
    <row r="412" spans="1:1" ht="13.2">
      <c r="A412" s="33"/>
    </row>
    <row r="413" spans="1:1" ht="13.2">
      <c r="A413" s="33"/>
    </row>
    <row r="414" spans="1:1" ht="13.2">
      <c r="A414" s="33"/>
    </row>
    <row r="415" spans="1:1" ht="13.2">
      <c r="A415" s="33"/>
    </row>
    <row r="416" spans="1:1" ht="13.2">
      <c r="A416" s="33"/>
    </row>
    <row r="417" spans="1:1" ht="13.2">
      <c r="A417" s="33"/>
    </row>
    <row r="418" spans="1:1" ht="13.2">
      <c r="A418" s="33"/>
    </row>
    <row r="419" spans="1:1" ht="13.2">
      <c r="A419" s="33"/>
    </row>
    <row r="420" spans="1:1" ht="13.2">
      <c r="A420" s="33"/>
    </row>
    <row r="421" spans="1:1" ht="13.2">
      <c r="A421" s="33"/>
    </row>
    <row r="422" spans="1:1" ht="13.2">
      <c r="A422" s="33"/>
    </row>
    <row r="423" spans="1:1" ht="13.2">
      <c r="A423" s="33"/>
    </row>
    <row r="424" spans="1:1" ht="13.2">
      <c r="A424" s="33"/>
    </row>
    <row r="425" spans="1:1" ht="13.2">
      <c r="A425" s="33"/>
    </row>
    <row r="426" spans="1:1" ht="13.2">
      <c r="A426" s="33"/>
    </row>
    <row r="427" spans="1:1" ht="13.2">
      <c r="A427" s="33"/>
    </row>
    <row r="428" spans="1:1" ht="13.2">
      <c r="A428" s="33"/>
    </row>
    <row r="429" spans="1:1" ht="13.2">
      <c r="A429" s="33"/>
    </row>
    <row r="430" spans="1:1" ht="13.2">
      <c r="A430" s="33"/>
    </row>
    <row r="431" spans="1:1" ht="13.2">
      <c r="A431" s="33"/>
    </row>
    <row r="432" spans="1:1" ht="13.2">
      <c r="A432" s="33"/>
    </row>
    <row r="433" spans="1:1" ht="13.2">
      <c r="A433" s="33"/>
    </row>
    <row r="434" spans="1:1" ht="13.2">
      <c r="A434" s="33"/>
    </row>
    <row r="435" spans="1:1" ht="13.2">
      <c r="A435" s="33"/>
    </row>
    <row r="436" spans="1:1" ht="13.2">
      <c r="A436" s="33"/>
    </row>
    <row r="437" spans="1:1" ht="13.2">
      <c r="A437" s="33"/>
    </row>
    <row r="438" spans="1:1" ht="13.2">
      <c r="A438" s="33"/>
    </row>
    <row r="439" spans="1:1" ht="13.2">
      <c r="A439" s="33"/>
    </row>
    <row r="440" spans="1:1" ht="13.2">
      <c r="A440" s="33"/>
    </row>
    <row r="441" spans="1:1" ht="13.2">
      <c r="A441" s="33"/>
    </row>
    <row r="442" spans="1:1" ht="13.2">
      <c r="A442" s="33"/>
    </row>
    <row r="443" spans="1:1" ht="13.2">
      <c r="A443" s="33"/>
    </row>
    <row r="444" spans="1:1" ht="13.2">
      <c r="A444" s="33"/>
    </row>
    <row r="445" spans="1:1" ht="13.2">
      <c r="A445" s="33"/>
    </row>
    <row r="446" spans="1:1" ht="13.2">
      <c r="A446" s="33"/>
    </row>
    <row r="447" spans="1:1" ht="13.2">
      <c r="A447" s="33"/>
    </row>
    <row r="448" spans="1:1" ht="13.2">
      <c r="A448" s="33"/>
    </row>
    <row r="449" spans="1:1" ht="13.2">
      <c r="A449" s="33"/>
    </row>
    <row r="450" spans="1:1" ht="13.2">
      <c r="A450" s="33"/>
    </row>
    <row r="451" spans="1:1" ht="13.2">
      <c r="A451" s="33"/>
    </row>
    <row r="452" spans="1:1" ht="13.2">
      <c r="A452" s="33"/>
    </row>
    <row r="453" spans="1:1" ht="13.2">
      <c r="A453" s="33"/>
    </row>
    <row r="454" spans="1:1" ht="13.2">
      <c r="A454" s="33"/>
    </row>
    <row r="455" spans="1:1" ht="13.2">
      <c r="A455" s="33"/>
    </row>
    <row r="456" spans="1:1" ht="13.2">
      <c r="A456" s="33"/>
    </row>
    <row r="457" spans="1:1" ht="13.2">
      <c r="A457" s="33"/>
    </row>
    <row r="458" spans="1:1" ht="13.2">
      <c r="A458" s="33"/>
    </row>
    <row r="459" spans="1:1" ht="13.2">
      <c r="A459" s="33"/>
    </row>
    <row r="460" spans="1:1" ht="13.2">
      <c r="A460" s="33"/>
    </row>
    <row r="461" spans="1:1" ht="13.2">
      <c r="A461" s="33"/>
    </row>
    <row r="462" spans="1:1" ht="13.2">
      <c r="A462" s="33"/>
    </row>
    <row r="463" spans="1:1" ht="13.2">
      <c r="A463" s="33"/>
    </row>
    <row r="464" spans="1:1" ht="13.2">
      <c r="A464" s="33"/>
    </row>
    <row r="465" spans="1:1" ht="13.2">
      <c r="A465" s="33"/>
    </row>
    <row r="466" spans="1:1" ht="13.2">
      <c r="A466" s="33"/>
    </row>
    <row r="467" spans="1:1" ht="13.2">
      <c r="A467" s="33"/>
    </row>
    <row r="468" spans="1:1" ht="13.2">
      <c r="A468" s="33"/>
    </row>
    <row r="469" spans="1:1" ht="13.2">
      <c r="A469" s="33"/>
    </row>
    <row r="470" spans="1:1" ht="13.2">
      <c r="A470" s="33"/>
    </row>
    <row r="471" spans="1:1" ht="13.2">
      <c r="A471" s="33"/>
    </row>
    <row r="472" spans="1:1" ht="13.2">
      <c r="A472" s="33"/>
    </row>
    <row r="473" spans="1:1" ht="13.2">
      <c r="A473" s="33"/>
    </row>
    <row r="474" spans="1:1" ht="13.2">
      <c r="A474" s="33"/>
    </row>
    <row r="475" spans="1:1" ht="13.2">
      <c r="A475" s="33"/>
    </row>
    <row r="476" spans="1:1" ht="13.2">
      <c r="A476" s="33"/>
    </row>
    <row r="477" spans="1:1" ht="13.2">
      <c r="A477" s="33"/>
    </row>
    <row r="478" spans="1:1" ht="13.2">
      <c r="A478" s="33"/>
    </row>
    <row r="479" spans="1:1" ht="13.2">
      <c r="A479" s="33"/>
    </row>
    <row r="480" spans="1:1" ht="13.2">
      <c r="A480" s="33"/>
    </row>
    <row r="481" spans="1:1" ht="13.2">
      <c r="A481" s="33"/>
    </row>
    <row r="482" spans="1:1" ht="13.2">
      <c r="A482" s="33"/>
    </row>
    <row r="483" spans="1:1" ht="13.2">
      <c r="A483" s="33"/>
    </row>
    <row r="484" spans="1:1" ht="13.2">
      <c r="A484" s="33"/>
    </row>
    <row r="485" spans="1:1" ht="13.2">
      <c r="A485" s="33"/>
    </row>
    <row r="486" spans="1:1" ht="13.2">
      <c r="A486" s="33"/>
    </row>
    <row r="487" spans="1:1" ht="13.2">
      <c r="A487" s="33"/>
    </row>
    <row r="488" spans="1:1" ht="13.2">
      <c r="A488" s="33"/>
    </row>
    <row r="489" spans="1:1" ht="13.2">
      <c r="A489" s="33"/>
    </row>
    <row r="490" spans="1:1" ht="13.2">
      <c r="A490" s="33"/>
    </row>
    <row r="491" spans="1:1" ht="13.2">
      <c r="A491" s="33"/>
    </row>
    <row r="492" spans="1:1" ht="13.2">
      <c r="A492" s="33"/>
    </row>
    <row r="493" spans="1:1" ht="13.2">
      <c r="A493" s="33"/>
    </row>
    <row r="494" spans="1:1" ht="13.2">
      <c r="A494" s="33"/>
    </row>
    <row r="495" spans="1:1" ht="13.2">
      <c r="A495" s="33"/>
    </row>
    <row r="496" spans="1:1" ht="13.2">
      <c r="A496" s="33"/>
    </row>
    <row r="497" spans="1:1" ht="13.2">
      <c r="A497" s="33"/>
    </row>
    <row r="498" spans="1:1" ht="13.2">
      <c r="A498" s="33"/>
    </row>
    <row r="499" spans="1:1" ht="13.2">
      <c r="A499" s="33"/>
    </row>
    <row r="500" spans="1:1" ht="13.2">
      <c r="A500" s="33"/>
    </row>
    <row r="501" spans="1:1" ht="13.2">
      <c r="A501" s="33"/>
    </row>
    <row r="502" spans="1:1" ht="13.2">
      <c r="A502" s="33"/>
    </row>
    <row r="503" spans="1:1" ht="13.2">
      <c r="A503" s="33"/>
    </row>
    <row r="504" spans="1:1" ht="13.2">
      <c r="A504" s="33"/>
    </row>
    <row r="505" spans="1:1" ht="13.2">
      <c r="A505" s="33"/>
    </row>
    <row r="506" spans="1:1" ht="13.2">
      <c r="A506" s="33"/>
    </row>
    <row r="507" spans="1:1" ht="13.2">
      <c r="A507" s="33"/>
    </row>
    <row r="508" spans="1:1" ht="13.2">
      <c r="A508" s="33"/>
    </row>
    <row r="509" spans="1:1" ht="13.2">
      <c r="A509" s="33"/>
    </row>
    <row r="510" spans="1:1" ht="13.2">
      <c r="A510" s="33"/>
    </row>
    <row r="511" spans="1:1" ht="13.2">
      <c r="A511" s="33"/>
    </row>
    <row r="512" spans="1:1" ht="13.2">
      <c r="A512" s="33"/>
    </row>
    <row r="513" spans="1:1" ht="13.2">
      <c r="A513" s="33"/>
    </row>
    <row r="514" spans="1:1" ht="13.2">
      <c r="A514" s="33"/>
    </row>
    <row r="515" spans="1:1" ht="13.2">
      <c r="A515" s="33"/>
    </row>
    <row r="516" spans="1:1" ht="13.2">
      <c r="A516" s="33"/>
    </row>
    <row r="517" spans="1:1" ht="13.2">
      <c r="A517" s="33"/>
    </row>
    <row r="518" spans="1:1" ht="13.2">
      <c r="A518" s="33"/>
    </row>
    <row r="519" spans="1:1" ht="13.2">
      <c r="A519" s="33"/>
    </row>
    <row r="520" spans="1:1" ht="13.2">
      <c r="A520" s="33"/>
    </row>
    <row r="521" spans="1:1" ht="13.2">
      <c r="A521" s="33"/>
    </row>
    <row r="522" spans="1:1" ht="13.2">
      <c r="A522" s="33"/>
    </row>
    <row r="523" spans="1:1" ht="13.2">
      <c r="A523" s="33"/>
    </row>
    <row r="524" spans="1:1" ht="13.2">
      <c r="A524" s="33"/>
    </row>
    <row r="525" spans="1:1" ht="13.2">
      <c r="A525" s="33"/>
    </row>
    <row r="526" spans="1:1" ht="13.2">
      <c r="A526" s="33"/>
    </row>
    <row r="527" spans="1:1" ht="13.2">
      <c r="A527" s="33"/>
    </row>
    <row r="528" spans="1:1" ht="13.2">
      <c r="A528" s="33"/>
    </row>
    <row r="529" spans="1:1" ht="13.2">
      <c r="A529" s="33"/>
    </row>
    <row r="530" spans="1:1" ht="13.2">
      <c r="A530" s="33"/>
    </row>
    <row r="531" spans="1:1" ht="13.2">
      <c r="A531" s="33"/>
    </row>
    <row r="532" spans="1:1" ht="13.2">
      <c r="A532" s="33"/>
    </row>
    <row r="533" spans="1:1" ht="13.2">
      <c r="A533" s="33"/>
    </row>
    <row r="534" spans="1:1" ht="13.2">
      <c r="A534" s="33"/>
    </row>
    <row r="535" spans="1:1" ht="13.2">
      <c r="A535" s="33"/>
    </row>
    <row r="536" spans="1:1" ht="13.2">
      <c r="A536" s="33"/>
    </row>
    <row r="537" spans="1:1" ht="13.2">
      <c r="A537" s="33"/>
    </row>
    <row r="538" spans="1:1" ht="13.2">
      <c r="A538" s="33"/>
    </row>
    <row r="539" spans="1:1" ht="13.2">
      <c r="A539" s="33"/>
    </row>
    <row r="540" spans="1:1" ht="13.2">
      <c r="A540" s="33"/>
    </row>
    <row r="541" spans="1:1" ht="13.2">
      <c r="A541" s="33"/>
    </row>
    <row r="542" spans="1:1" ht="13.2">
      <c r="A542" s="33"/>
    </row>
    <row r="543" spans="1:1" ht="13.2">
      <c r="A543" s="33"/>
    </row>
    <row r="544" spans="1:1" ht="13.2">
      <c r="A544" s="33"/>
    </row>
    <row r="545" spans="1:1" ht="13.2">
      <c r="A545" s="33"/>
    </row>
    <row r="546" spans="1:1" ht="13.2">
      <c r="A546" s="33"/>
    </row>
    <row r="547" spans="1:1" ht="13.2">
      <c r="A547" s="33"/>
    </row>
    <row r="548" spans="1:1" ht="13.2">
      <c r="A548" s="33"/>
    </row>
    <row r="549" spans="1:1" ht="13.2">
      <c r="A549" s="33"/>
    </row>
    <row r="550" spans="1:1" ht="13.2">
      <c r="A550" s="33"/>
    </row>
    <row r="551" spans="1:1" ht="13.2">
      <c r="A551" s="33"/>
    </row>
    <row r="552" spans="1:1" ht="13.2">
      <c r="A552" s="33"/>
    </row>
    <row r="553" spans="1:1" ht="13.2">
      <c r="A553" s="33"/>
    </row>
    <row r="554" spans="1:1" ht="13.2">
      <c r="A554" s="33"/>
    </row>
    <row r="555" spans="1:1" ht="13.2">
      <c r="A555" s="33"/>
    </row>
    <row r="556" spans="1:1" ht="13.2">
      <c r="A556" s="33"/>
    </row>
    <row r="557" spans="1:1" ht="13.2">
      <c r="A557" s="33"/>
    </row>
    <row r="558" spans="1:1" ht="13.2">
      <c r="A558" s="33"/>
    </row>
    <row r="559" spans="1:1" ht="13.2">
      <c r="A559" s="33"/>
    </row>
    <row r="560" spans="1:1" ht="13.2">
      <c r="A560" s="33"/>
    </row>
    <row r="561" spans="1:1" ht="13.2">
      <c r="A561" s="33"/>
    </row>
    <row r="562" spans="1:1" ht="13.2">
      <c r="A562" s="33"/>
    </row>
    <row r="563" spans="1:1" ht="13.2">
      <c r="A563" s="33"/>
    </row>
    <row r="564" spans="1:1" ht="13.2">
      <c r="A564" s="33"/>
    </row>
    <row r="565" spans="1:1" ht="13.2">
      <c r="A565" s="33"/>
    </row>
    <row r="566" spans="1:1" ht="13.2">
      <c r="A566" s="33"/>
    </row>
    <row r="567" spans="1:1" ht="13.2">
      <c r="A567" s="33"/>
    </row>
    <row r="568" spans="1:1" ht="13.2">
      <c r="A568" s="33"/>
    </row>
    <row r="569" spans="1:1" ht="13.2">
      <c r="A569" s="33"/>
    </row>
    <row r="570" spans="1:1" ht="13.2">
      <c r="A570" s="33"/>
    </row>
    <row r="571" spans="1:1" ht="13.2">
      <c r="A571" s="33"/>
    </row>
    <row r="572" spans="1:1" ht="13.2">
      <c r="A572" s="33"/>
    </row>
    <row r="573" spans="1:1" ht="13.2">
      <c r="A573" s="33"/>
    </row>
    <row r="574" spans="1:1" ht="13.2">
      <c r="A574" s="33"/>
    </row>
    <row r="575" spans="1:1" ht="13.2">
      <c r="A575" s="33"/>
    </row>
    <row r="576" spans="1:1" ht="13.2">
      <c r="A576" s="33"/>
    </row>
    <row r="577" spans="1:1" ht="13.2">
      <c r="A577" s="33"/>
    </row>
    <row r="578" spans="1:1" ht="13.2">
      <c r="A578" s="33"/>
    </row>
    <row r="579" spans="1:1" ht="13.2">
      <c r="A579" s="33"/>
    </row>
    <row r="580" spans="1:1" ht="13.2">
      <c r="A580" s="33"/>
    </row>
    <row r="581" spans="1:1" ht="13.2">
      <c r="A581" s="33"/>
    </row>
    <row r="582" spans="1:1" ht="13.2">
      <c r="A582" s="33"/>
    </row>
    <row r="583" spans="1:1" ht="13.2">
      <c r="A583" s="33"/>
    </row>
    <row r="584" spans="1:1" ht="13.2">
      <c r="A584" s="33"/>
    </row>
    <row r="585" spans="1:1" ht="13.2">
      <c r="A585" s="33"/>
    </row>
    <row r="586" spans="1:1" ht="13.2">
      <c r="A586" s="33"/>
    </row>
    <row r="587" spans="1:1" ht="13.2">
      <c r="A587" s="33"/>
    </row>
    <row r="588" spans="1:1" ht="13.2">
      <c r="A588" s="33"/>
    </row>
    <row r="589" spans="1:1" ht="13.2">
      <c r="A589" s="33"/>
    </row>
    <row r="590" spans="1:1" ht="13.2">
      <c r="A590" s="33"/>
    </row>
    <row r="591" spans="1:1" ht="13.2">
      <c r="A591" s="33"/>
    </row>
    <row r="592" spans="1:1" ht="13.2">
      <c r="A592" s="33"/>
    </row>
    <row r="593" spans="1:1" ht="13.2">
      <c r="A593" s="33"/>
    </row>
    <row r="594" spans="1:1" ht="13.2">
      <c r="A594" s="33"/>
    </row>
    <row r="595" spans="1:1" ht="13.2">
      <c r="A595" s="33"/>
    </row>
    <row r="596" spans="1:1" ht="13.2">
      <c r="A596" s="33"/>
    </row>
    <row r="597" spans="1:1" ht="13.2">
      <c r="A597" s="33"/>
    </row>
    <row r="598" spans="1:1" ht="13.2">
      <c r="A598" s="33"/>
    </row>
    <row r="599" spans="1:1" ht="13.2">
      <c r="A599" s="33"/>
    </row>
    <row r="600" spans="1:1" ht="13.2">
      <c r="A600" s="33"/>
    </row>
    <row r="601" spans="1:1" ht="13.2">
      <c r="A601" s="33"/>
    </row>
    <row r="602" spans="1:1" ht="13.2">
      <c r="A602" s="33"/>
    </row>
    <row r="603" spans="1:1" ht="13.2">
      <c r="A603" s="33"/>
    </row>
    <row r="604" spans="1:1" ht="13.2">
      <c r="A604" s="33"/>
    </row>
    <row r="605" spans="1:1" ht="13.2">
      <c r="A605" s="33"/>
    </row>
    <row r="606" spans="1:1" ht="13.2">
      <c r="A606" s="33"/>
    </row>
    <row r="607" spans="1:1" ht="13.2">
      <c r="A607" s="33"/>
    </row>
    <row r="608" spans="1:1" ht="13.2">
      <c r="A608" s="33"/>
    </row>
    <row r="609" spans="1:1" ht="13.2">
      <c r="A609" s="33"/>
    </row>
    <row r="610" spans="1:1" ht="13.2">
      <c r="A610" s="33"/>
    </row>
    <row r="611" spans="1:1" ht="13.2">
      <c r="A611" s="33"/>
    </row>
    <row r="612" spans="1:1" ht="13.2">
      <c r="A612" s="33"/>
    </row>
    <row r="613" spans="1:1" ht="13.2">
      <c r="A613" s="33"/>
    </row>
    <row r="614" spans="1:1" ht="13.2">
      <c r="A614" s="33"/>
    </row>
    <row r="615" spans="1:1" ht="13.2">
      <c r="A615" s="33"/>
    </row>
    <row r="616" spans="1:1" ht="13.2">
      <c r="A616" s="33"/>
    </row>
    <row r="617" spans="1:1" ht="13.2">
      <c r="A617" s="33"/>
    </row>
    <row r="618" spans="1:1" ht="13.2">
      <c r="A618" s="33"/>
    </row>
    <row r="619" spans="1:1" ht="13.2">
      <c r="A619" s="33"/>
    </row>
    <row r="620" spans="1:1" ht="13.2">
      <c r="A620" s="33"/>
    </row>
    <row r="621" spans="1:1" ht="13.2">
      <c r="A621" s="33"/>
    </row>
    <row r="622" spans="1:1" ht="13.2">
      <c r="A622" s="33"/>
    </row>
    <row r="623" spans="1:1" ht="13.2">
      <c r="A623" s="33"/>
    </row>
    <row r="624" spans="1:1" ht="13.2">
      <c r="A624" s="33"/>
    </row>
    <row r="625" spans="1:1" ht="13.2">
      <c r="A625" s="33"/>
    </row>
    <row r="626" spans="1:1" ht="13.2">
      <c r="A626" s="33"/>
    </row>
    <row r="627" spans="1:1" ht="13.2">
      <c r="A627" s="33"/>
    </row>
    <row r="628" spans="1:1" ht="13.2">
      <c r="A628" s="33"/>
    </row>
    <row r="629" spans="1:1" ht="13.2">
      <c r="A629" s="33"/>
    </row>
    <row r="630" spans="1:1" ht="13.2">
      <c r="A630" s="33"/>
    </row>
    <row r="631" spans="1:1" ht="13.2">
      <c r="A631" s="33"/>
    </row>
    <row r="632" spans="1:1" ht="13.2">
      <c r="A632" s="33"/>
    </row>
    <row r="633" spans="1:1" ht="13.2">
      <c r="A633" s="33"/>
    </row>
    <row r="634" spans="1:1" ht="13.2">
      <c r="A634" s="33"/>
    </row>
    <row r="635" spans="1:1" ht="13.2">
      <c r="A635" s="33"/>
    </row>
    <row r="636" spans="1:1" ht="13.2">
      <c r="A636" s="33"/>
    </row>
    <row r="637" spans="1:1" ht="13.2">
      <c r="A637" s="33"/>
    </row>
    <row r="638" spans="1:1" ht="13.2">
      <c r="A638" s="33"/>
    </row>
    <row r="639" spans="1:1" ht="13.2">
      <c r="A639" s="33"/>
    </row>
    <row r="640" spans="1:1" ht="13.2">
      <c r="A640" s="33"/>
    </row>
    <row r="641" spans="1:1" ht="13.2">
      <c r="A641" s="33"/>
    </row>
    <row r="642" spans="1:1" ht="13.2">
      <c r="A642" s="33"/>
    </row>
    <row r="643" spans="1:1" ht="13.2">
      <c r="A643" s="33"/>
    </row>
    <row r="644" spans="1:1" ht="13.2">
      <c r="A644" s="33"/>
    </row>
    <row r="645" spans="1:1" ht="13.2">
      <c r="A645" s="33"/>
    </row>
    <row r="646" spans="1:1" ht="13.2">
      <c r="A646" s="33"/>
    </row>
    <row r="647" spans="1:1" ht="13.2">
      <c r="A647" s="33"/>
    </row>
    <row r="648" spans="1:1" ht="13.2">
      <c r="A648" s="33"/>
    </row>
    <row r="649" spans="1:1" ht="13.2">
      <c r="A649" s="33"/>
    </row>
    <row r="650" spans="1:1" ht="13.2">
      <c r="A650" s="33"/>
    </row>
    <row r="651" spans="1:1" ht="13.2">
      <c r="A651" s="33"/>
    </row>
    <row r="652" spans="1:1" ht="13.2">
      <c r="A652" s="33"/>
    </row>
    <row r="653" spans="1:1" ht="13.2">
      <c r="A653" s="33"/>
    </row>
    <row r="654" spans="1:1" ht="13.2">
      <c r="A654" s="33"/>
    </row>
    <row r="655" spans="1:1" ht="13.2">
      <c r="A655" s="33"/>
    </row>
    <row r="656" spans="1:1" ht="13.2">
      <c r="A656" s="33"/>
    </row>
    <row r="657" spans="1:1" ht="13.2">
      <c r="A657" s="33"/>
    </row>
    <row r="658" spans="1:1" ht="13.2">
      <c r="A658" s="33"/>
    </row>
    <row r="659" spans="1:1" ht="13.2">
      <c r="A659" s="33"/>
    </row>
    <row r="660" spans="1:1" ht="13.2">
      <c r="A660" s="33"/>
    </row>
    <row r="661" spans="1:1" ht="13.2">
      <c r="A661" s="33"/>
    </row>
    <row r="662" spans="1:1" ht="13.2">
      <c r="A662" s="33"/>
    </row>
    <row r="663" spans="1:1" ht="13.2">
      <c r="A663" s="33"/>
    </row>
    <row r="664" spans="1:1" ht="13.2">
      <c r="A664" s="33"/>
    </row>
    <row r="665" spans="1:1" ht="13.2">
      <c r="A665" s="33"/>
    </row>
    <row r="666" spans="1:1" ht="13.2">
      <c r="A666" s="33"/>
    </row>
    <row r="667" spans="1:1" ht="13.2">
      <c r="A667" s="33"/>
    </row>
    <row r="668" spans="1:1" ht="13.2">
      <c r="A668" s="33"/>
    </row>
    <row r="669" spans="1:1" ht="13.2">
      <c r="A669" s="33"/>
    </row>
    <row r="670" spans="1:1" ht="13.2">
      <c r="A670" s="33"/>
    </row>
    <row r="671" spans="1:1" ht="13.2">
      <c r="A671" s="33"/>
    </row>
    <row r="672" spans="1:1" ht="13.2">
      <c r="A672" s="33"/>
    </row>
    <row r="673" spans="1:1" ht="13.2">
      <c r="A673" s="33"/>
    </row>
    <row r="674" spans="1:1" ht="13.2">
      <c r="A674" s="33"/>
    </row>
    <row r="675" spans="1:1" ht="13.2">
      <c r="A675" s="33"/>
    </row>
    <row r="676" spans="1:1" ht="13.2">
      <c r="A676" s="33"/>
    </row>
    <row r="677" spans="1:1" ht="13.2">
      <c r="A677" s="33"/>
    </row>
    <row r="678" spans="1:1" ht="13.2">
      <c r="A678" s="33"/>
    </row>
    <row r="679" spans="1:1" ht="13.2">
      <c r="A679" s="33"/>
    </row>
    <row r="680" spans="1:1" ht="13.2">
      <c r="A680" s="33"/>
    </row>
    <row r="681" spans="1:1" ht="13.2">
      <c r="A681" s="33"/>
    </row>
    <row r="682" spans="1:1" ht="13.2">
      <c r="A682" s="33"/>
    </row>
    <row r="683" spans="1:1" ht="13.2">
      <c r="A683" s="33"/>
    </row>
    <row r="684" spans="1:1" ht="13.2">
      <c r="A684" s="33"/>
    </row>
    <row r="685" spans="1:1" ht="13.2">
      <c r="A685" s="33"/>
    </row>
    <row r="686" spans="1:1" ht="13.2">
      <c r="A686" s="33"/>
    </row>
    <row r="687" spans="1:1" ht="13.2">
      <c r="A687" s="33"/>
    </row>
    <row r="688" spans="1:1" ht="13.2">
      <c r="A688" s="33"/>
    </row>
    <row r="689" spans="1:1" ht="13.2">
      <c r="A689" s="33"/>
    </row>
    <row r="690" spans="1:1" ht="13.2">
      <c r="A690" s="33"/>
    </row>
    <row r="691" spans="1:1" ht="13.2">
      <c r="A691" s="33"/>
    </row>
    <row r="692" spans="1:1" ht="13.2">
      <c r="A692" s="33"/>
    </row>
    <row r="693" spans="1:1" ht="13.2">
      <c r="A693" s="33"/>
    </row>
    <row r="694" spans="1:1" ht="13.2">
      <c r="A694" s="33"/>
    </row>
    <row r="695" spans="1:1" ht="13.2">
      <c r="A695" s="33"/>
    </row>
    <row r="696" spans="1:1" ht="13.2">
      <c r="A696" s="33"/>
    </row>
    <row r="697" spans="1:1" ht="13.2">
      <c r="A697" s="33"/>
    </row>
    <row r="698" spans="1:1" ht="13.2">
      <c r="A698" s="33"/>
    </row>
    <row r="699" spans="1:1" ht="13.2">
      <c r="A699" s="33"/>
    </row>
    <row r="700" spans="1:1" ht="13.2">
      <c r="A700" s="33"/>
    </row>
    <row r="701" spans="1:1" ht="13.2">
      <c r="A701" s="33"/>
    </row>
    <row r="702" spans="1:1" ht="13.2">
      <c r="A702" s="33"/>
    </row>
    <row r="703" spans="1:1" ht="13.2">
      <c r="A703" s="33"/>
    </row>
    <row r="704" spans="1:1" ht="13.2">
      <c r="A704" s="33"/>
    </row>
    <row r="705" spans="1:1" ht="13.2">
      <c r="A705" s="33"/>
    </row>
    <row r="706" spans="1:1" ht="13.2">
      <c r="A706" s="33"/>
    </row>
    <row r="707" spans="1:1" ht="13.2">
      <c r="A707" s="33"/>
    </row>
    <row r="708" spans="1:1" ht="13.2">
      <c r="A708" s="33"/>
    </row>
    <row r="709" spans="1:1" ht="13.2">
      <c r="A709" s="33"/>
    </row>
    <row r="710" spans="1:1" ht="13.2">
      <c r="A710" s="33"/>
    </row>
    <row r="711" spans="1:1" ht="13.2">
      <c r="A711" s="33"/>
    </row>
    <row r="712" spans="1:1" ht="13.2">
      <c r="A712" s="33"/>
    </row>
    <row r="713" spans="1:1" ht="13.2">
      <c r="A713" s="33"/>
    </row>
    <row r="714" spans="1:1" ht="13.2">
      <c r="A714" s="33"/>
    </row>
    <row r="715" spans="1:1" ht="13.2">
      <c r="A715" s="33"/>
    </row>
    <row r="716" spans="1:1" ht="13.2">
      <c r="A716" s="33"/>
    </row>
    <row r="717" spans="1:1" ht="13.2">
      <c r="A717" s="33"/>
    </row>
    <row r="718" spans="1:1" ht="13.2">
      <c r="A718" s="33"/>
    </row>
    <row r="719" spans="1:1" ht="13.2">
      <c r="A719" s="33"/>
    </row>
    <row r="720" spans="1:1" ht="13.2">
      <c r="A720" s="33"/>
    </row>
    <row r="721" spans="1:1" ht="13.2">
      <c r="A721" s="33"/>
    </row>
    <row r="722" spans="1:1" ht="13.2">
      <c r="A722" s="33"/>
    </row>
    <row r="723" spans="1:1" ht="13.2">
      <c r="A723" s="33"/>
    </row>
    <row r="724" spans="1:1" ht="13.2">
      <c r="A724" s="33"/>
    </row>
    <row r="725" spans="1:1" ht="13.2">
      <c r="A725" s="33"/>
    </row>
    <row r="726" spans="1:1" ht="13.2">
      <c r="A726" s="33"/>
    </row>
    <row r="727" spans="1:1" ht="13.2">
      <c r="A727" s="33"/>
    </row>
    <row r="728" spans="1:1" ht="13.2">
      <c r="A728" s="33"/>
    </row>
    <row r="729" spans="1:1" ht="13.2">
      <c r="A729" s="33"/>
    </row>
    <row r="730" spans="1:1" ht="13.2">
      <c r="A730" s="33"/>
    </row>
    <row r="731" spans="1:1" ht="13.2">
      <c r="A731" s="33"/>
    </row>
    <row r="732" spans="1:1" ht="13.2">
      <c r="A732" s="33"/>
    </row>
    <row r="733" spans="1:1" ht="13.2">
      <c r="A733" s="33"/>
    </row>
    <row r="734" spans="1:1" ht="13.2">
      <c r="A734" s="33"/>
    </row>
    <row r="735" spans="1:1" ht="13.2">
      <c r="A735" s="33"/>
    </row>
    <row r="736" spans="1:1" ht="13.2">
      <c r="A736" s="33"/>
    </row>
    <row r="737" spans="1:1" ht="13.2">
      <c r="A737" s="33"/>
    </row>
    <row r="738" spans="1:1" ht="13.2">
      <c r="A738" s="33"/>
    </row>
    <row r="739" spans="1:1" ht="13.2">
      <c r="A739" s="33"/>
    </row>
    <row r="740" spans="1:1" ht="13.2">
      <c r="A740" s="33"/>
    </row>
    <row r="741" spans="1:1" ht="13.2">
      <c r="A741" s="33"/>
    </row>
    <row r="742" spans="1:1" ht="13.2">
      <c r="A742" s="33"/>
    </row>
    <row r="743" spans="1:1" ht="13.2">
      <c r="A743" s="33"/>
    </row>
    <row r="744" spans="1:1" ht="13.2">
      <c r="A744" s="33"/>
    </row>
    <row r="745" spans="1:1" ht="13.2">
      <c r="A745" s="33"/>
    </row>
    <row r="746" spans="1:1" ht="13.2">
      <c r="A746" s="33"/>
    </row>
    <row r="747" spans="1:1" ht="13.2">
      <c r="A747" s="33"/>
    </row>
    <row r="748" spans="1:1" ht="13.2">
      <c r="A748" s="33"/>
    </row>
    <row r="749" spans="1:1" ht="13.2">
      <c r="A749" s="33"/>
    </row>
    <row r="750" spans="1:1" ht="13.2">
      <c r="A750" s="33"/>
    </row>
    <row r="751" spans="1:1" ht="13.2">
      <c r="A751" s="33"/>
    </row>
    <row r="752" spans="1:1" ht="13.2">
      <c r="A752" s="33"/>
    </row>
    <row r="753" spans="1:1" ht="13.2">
      <c r="A753" s="33"/>
    </row>
    <row r="754" spans="1:1" ht="13.2">
      <c r="A754" s="33"/>
    </row>
    <row r="755" spans="1:1" ht="13.2">
      <c r="A755" s="33"/>
    </row>
    <row r="756" spans="1:1" ht="13.2">
      <c r="A756" s="33"/>
    </row>
    <row r="757" spans="1:1" ht="13.2">
      <c r="A757" s="33"/>
    </row>
    <row r="758" spans="1:1" ht="13.2">
      <c r="A758" s="33"/>
    </row>
    <row r="759" spans="1:1" ht="13.2">
      <c r="A759" s="33"/>
    </row>
    <row r="760" spans="1:1" ht="13.2">
      <c r="A760" s="33"/>
    </row>
    <row r="761" spans="1:1" ht="13.2">
      <c r="A761" s="33"/>
    </row>
    <row r="762" spans="1:1" ht="13.2">
      <c r="A762" s="33"/>
    </row>
    <row r="763" spans="1:1" ht="13.2">
      <c r="A763" s="33"/>
    </row>
    <row r="764" spans="1:1" ht="13.2">
      <c r="A764" s="33"/>
    </row>
    <row r="765" spans="1:1" ht="13.2">
      <c r="A765" s="33"/>
    </row>
    <row r="766" spans="1:1" ht="13.2">
      <c r="A766" s="33"/>
    </row>
    <row r="767" spans="1:1" ht="13.2">
      <c r="A767" s="33"/>
    </row>
    <row r="768" spans="1:1" ht="13.2">
      <c r="A768" s="33"/>
    </row>
    <row r="769" spans="1:1" ht="13.2">
      <c r="A769" s="33"/>
    </row>
    <row r="770" spans="1:1" ht="13.2">
      <c r="A770" s="33"/>
    </row>
    <row r="771" spans="1:1" ht="13.2">
      <c r="A771" s="33"/>
    </row>
    <row r="772" spans="1:1" ht="13.2">
      <c r="A772" s="33"/>
    </row>
    <row r="773" spans="1:1" ht="13.2">
      <c r="A773" s="33"/>
    </row>
    <row r="774" spans="1:1" ht="13.2">
      <c r="A774" s="33"/>
    </row>
    <row r="775" spans="1:1" ht="13.2">
      <c r="A775" s="33"/>
    </row>
    <row r="776" spans="1:1" ht="13.2">
      <c r="A776" s="33"/>
    </row>
    <row r="777" spans="1:1" ht="13.2">
      <c r="A777" s="33"/>
    </row>
    <row r="778" spans="1:1" ht="13.2">
      <c r="A778" s="33"/>
    </row>
    <row r="779" spans="1:1" ht="13.2">
      <c r="A779" s="33"/>
    </row>
    <row r="780" spans="1:1" ht="13.2">
      <c r="A780" s="33"/>
    </row>
    <row r="781" spans="1:1" ht="13.2">
      <c r="A781" s="33"/>
    </row>
    <row r="782" spans="1:1" ht="13.2">
      <c r="A782" s="33"/>
    </row>
    <row r="783" spans="1:1" ht="13.2">
      <c r="A783" s="33"/>
    </row>
    <row r="784" spans="1:1" ht="13.2">
      <c r="A784" s="33"/>
    </row>
    <row r="785" spans="1:1" ht="13.2">
      <c r="A785" s="33"/>
    </row>
    <row r="786" spans="1:1" ht="13.2">
      <c r="A786" s="33"/>
    </row>
    <row r="787" spans="1:1" ht="13.2">
      <c r="A787" s="33"/>
    </row>
    <row r="788" spans="1:1" ht="13.2">
      <c r="A788" s="33"/>
    </row>
    <row r="789" spans="1:1" ht="13.2">
      <c r="A789" s="33"/>
    </row>
    <row r="790" spans="1:1" ht="13.2">
      <c r="A790" s="33"/>
    </row>
    <row r="791" spans="1:1" ht="13.2">
      <c r="A791" s="33"/>
    </row>
    <row r="792" spans="1:1" ht="13.2">
      <c r="A792" s="33"/>
    </row>
    <row r="793" spans="1:1" ht="13.2">
      <c r="A793" s="33"/>
    </row>
    <row r="794" spans="1:1" ht="13.2">
      <c r="A794" s="33"/>
    </row>
    <row r="795" spans="1:1" ht="13.2">
      <c r="A795" s="33"/>
    </row>
    <row r="796" spans="1:1" ht="13.2">
      <c r="A796" s="33"/>
    </row>
    <row r="797" spans="1:1" ht="13.2">
      <c r="A797" s="33"/>
    </row>
    <row r="798" spans="1:1" ht="13.2">
      <c r="A798" s="33"/>
    </row>
    <row r="799" spans="1:1" ht="13.2">
      <c r="A799" s="33"/>
    </row>
    <row r="800" spans="1:1" ht="13.2">
      <c r="A800" s="33"/>
    </row>
    <row r="801" spans="1:1" ht="13.2">
      <c r="A801" s="33"/>
    </row>
    <row r="802" spans="1:1" ht="13.2">
      <c r="A802" s="33"/>
    </row>
    <row r="803" spans="1:1" ht="13.2">
      <c r="A803" s="33"/>
    </row>
    <row r="804" spans="1:1" ht="13.2">
      <c r="A804" s="33"/>
    </row>
    <row r="805" spans="1:1" ht="13.2">
      <c r="A805" s="33"/>
    </row>
    <row r="806" spans="1:1" ht="13.2">
      <c r="A806" s="33"/>
    </row>
    <row r="807" spans="1:1" ht="13.2">
      <c r="A807" s="33"/>
    </row>
    <row r="808" spans="1:1" ht="13.2">
      <c r="A808" s="33"/>
    </row>
    <row r="809" spans="1:1" ht="13.2">
      <c r="A809" s="33"/>
    </row>
    <row r="810" spans="1:1" ht="13.2">
      <c r="A810" s="33"/>
    </row>
    <row r="811" spans="1:1" ht="13.2">
      <c r="A811" s="33"/>
    </row>
    <row r="812" spans="1:1" ht="13.2">
      <c r="A812" s="33"/>
    </row>
    <row r="813" spans="1:1" ht="13.2">
      <c r="A813" s="33"/>
    </row>
    <row r="814" spans="1:1" ht="13.2">
      <c r="A814" s="33"/>
    </row>
    <row r="815" spans="1:1" ht="13.2">
      <c r="A815" s="33"/>
    </row>
    <row r="816" spans="1:1" ht="13.2">
      <c r="A816" s="33"/>
    </row>
    <row r="817" spans="1:1" ht="13.2">
      <c r="A817" s="33"/>
    </row>
    <row r="818" spans="1:1" ht="13.2">
      <c r="A818" s="33"/>
    </row>
    <row r="819" spans="1:1" ht="13.2">
      <c r="A819" s="33"/>
    </row>
    <row r="820" spans="1:1" ht="13.2">
      <c r="A820" s="33"/>
    </row>
    <row r="821" spans="1:1" ht="13.2">
      <c r="A821" s="33"/>
    </row>
    <row r="822" spans="1:1" ht="13.2">
      <c r="A822" s="33"/>
    </row>
    <row r="823" spans="1:1" ht="13.2">
      <c r="A823" s="33"/>
    </row>
    <row r="824" spans="1:1" ht="13.2">
      <c r="A824" s="33"/>
    </row>
    <row r="825" spans="1:1" ht="13.2">
      <c r="A825" s="33"/>
    </row>
    <row r="826" spans="1:1" ht="13.2">
      <c r="A826" s="33"/>
    </row>
    <row r="827" spans="1:1" ht="13.2">
      <c r="A827" s="33"/>
    </row>
    <row r="828" spans="1:1" ht="13.2">
      <c r="A828" s="33"/>
    </row>
    <row r="829" spans="1:1" ht="13.2">
      <c r="A829" s="33"/>
    </row>
    <row r="830" spans="1:1" ht="13.2">
      <c r="A830" s="33"/>
    </row>
    <row r="831" spans="1:1" ht="13.2">
      <c r="A831" s="33"/>
    </row>
    <row r="832" spans="1:1" ht="13.2">
      <c r="A832" s="33"/>
    </row>
    <row r="833" spans="1:1" ht="13.2">
      <c r="A833" s="33"/>
    </row>
    <row r="834" spans="1:1" ht="13.2">
      <c r="A834" s="33"/>
    </row>
    <row r="835" spans="1:1" ht="13.2">
      <c r="A835" s="33"/>
    </row>
    <row r="836" spans="1:1" ht="13.2">
      <c r="A836" s="33"/>
    </row>
    <row r="837" spans="1:1" ht="13.2">
      <c r="A837" s="33"/>
    </row>
    <row r="838" spans="1:1" ht="13.2">
      <c r="A838" s="33"/>
    </row>
    <row r="839" spans="1:1" ht="13.2">
      <c r="A839" s="33"/>
    </row>
    <row r="840" spans="1:1" ht="13.2">
      <c r="A840" s="33"/>
    </row>
    <row r="841" spans="1:1" ht="13.2">
      <c r="A841" s="33"/>
    </row>
    <row r="842" spans="1:1" ht="13.2">
      <c r="A842" s="33"/>
    </row>
    <row r="843" spans="1:1" ht="13.2">
      <c r="A843" s="33"/>
    </row>
    <row r="844" spans="1:1" ht="13.2">
      <c r="A844" s="33"/>
    </row>
    <row r="845" spans="1:1" ht="13.2">
      <c r="A845" s="33"/>
    </row>
    <row r="846" spans="1:1" ht="13.2">
      <c r="A846" s="33"/>
    </row>
    <row r="847" spans="1:1" ht="13.2">
      <c r="A847" s="33"/>
    </row>
    <row r="848" spans="1:1" ht="13.2">
      <c r="A848" s="33"/>
    </row>
    <row r="849" spans="1:1" ht="13.2">
      <c r="A849" s="33"/>
    </row>
    <row r="850" spans="1:1" ht="13.2">
      <c r="A850" s="33"/>
    </row>
    <row r="851" spans="1:1" ht="13.2">
      <c r="A851" s="33"/>
    </row>
    <row r="852" spans="1:1" ht="13.2">
      <c r="A852" s="33"/>
    </row>
    <row r="853" spans="1:1" ht="13.2">
      <c r="A853" s="33"/>
    </row>
    <row r="854" spans="1:1" ht="13.2">
      <c r="A854" s="33"/>
    </row>
    <row r="855" spans="1:1" ht="13.2">
      <c r="A855" s="33"/>
    </row>
    <row r="856" spans="1:1" ht="13.2">
      <c r="A856" s="33"/>
    </row>
    <row r="857" spans="1:1" ht="13.2">
      <c r="A857" s="33"/>
    </row>
    <row r="858" spans="1:1" ht="13.2">
      <c r="A858" s="33"/>
    </row>
    <row r="859" spans="1:1" ht="13.2">
      <c r="A859" s="33"/>
    </row>
    <row r="860" spans="1:1" ht="13.2">
      <c r="A860" s="33"/>
    </row>
    <row r="861" spans="1:1" ht="13.2">
      <c r="A861" s="33"/>
    </row>
    <row r="862" spans="1:1" ht="13.2">
      <c r="A862" s="33"/>
    </row>
    <row r="863" spans="1:1" ht="13.2">
      <c r="A863" s="33"/>
    </row>
    <row r="864" spans="1:1" ht="13.2">
      <c r="A864" s="33"/>
    </row>
    <row r="865" spans="1:1" ht="13.2">
      <c r="A865" s="33"/>
    </row>
    <row r="866" spans="1:1" ht="13.2">
      <c r="A866" s="33"/>
    </row>
    <row r="867" spans="1:1" ht="13.2">
      <c r="A867" s="33"/>
    </row>
    <row r="868" spans="1:1" ht="13.2">
      <c r="A868" s="33"/>
    </row>
    <row r="869" spans="1:1" ht="13.2">
      <c r="A869" s="33"/>
    </row>
    <row r="870" spans="1:1" ht="13.2">
      <c r="A870" s="33"/>
    </row>
    <row r="871" spans="1:1" ht="13.2">
      <c r="A871" s="33"/>
    </row>
    <row r="872" spans="1:1" ht="13.2">
      <c r="A872" s="33"/>
    </row>
    <row r="873" spans="1:1" ht="13.2">
      <c r="A873" s="33"/>
    </row>
    <row r="874" spans="1:1" ht="13.2">
      <c r="A874" s="33"/>
    </row>
    <row r="875" spans="1:1" ht="13.2">
      <c r="A875" s="33"/>
    </row>
    <row r="876" spans="1:1" ht="13.2">
      <c r="A876" s="33"/>
    </row>
    <row r="877" spans="1:1" ht="13.2">
      <c r="A877" s="33"/>
    </row>
    <row r="878" spans="1:1" ht="13.2">
      <c r="A878" s="33"/>
    </row>
    <row r="879" spans="1:1" ht="13.2">
      <c r="A879" s="33"/>
    </row>
    <row r="880" spans="1:1" ht="13.2">
      <c r="A880" s="33"/>
    </row>
    <row r="881" spans="1:1" ht="13.2">
      <c r="A881" s="33"/>
    </row>
    <row r="882" spans="1:1" ht="13.2">
      <c r="A882" s="33"/>
    </row>
    <row r="883" spans="1:1" ht="13.2">
      <c r="A883" s="33"/>
    </row>
    <row r="884" spans="1:1" ht="13.2">
      <c r="A884" s="33"/>
    </row>
    <row r="885" spans="1:1" ht="13.2">
      <c r="A885" s="33"/>
    </row>
    <row r="886" spans="1:1" ht="13.2">
      <c r="A886" s="33"/>
    </row>
    <row r="887" spans="1:1" ht="13.2">
      <c r="A887" s="33"/>
    </row>
    <row r="888" spans="1:1" ht="13.2">
      <c r="A888" s="33"/>
    </row>
    <row r="889" spans="1:1" ht="13.2">
      <c r="A889" s="33"/>
    </row>
    <row r="890" spans="1:1" ht="13.2">
      <c r="A890" s="33"/>
    </row>
    <row r="891" spans="1:1" ht="13.2">
      <c r="A891" s="33"/>
    </row>
    <row r="892" spans="1:1" ht="13.2">
      <c r="A892" s="33"/>
    </row>
    <row r="893" spans="1:1" ht="13.2">
      <c r="A893" s="33"/>
    </row>
    <row r="894" spans="1:1" ht="13.2">
      <c r="A894" s="33"/>
    </row>
    <row r="895" spans="1:1" ht="13.2">
      <c r="A895" s="33"/>
    </row>
    <row r="896" spans="1:1" ht="13.2">
      <c r="A896" s="33"/>
    </row>
    <row r="897" spans="1:1" ht="13.2">
      <c r="A897" s="33"/>
    </row>
    <row r="898" spans="1:1" ht="13.2">
      <c r="A898" s="33"/>
    </row>
    <row r="899" spans="1:1" ht="13.2">
      <c r="A899" s="33"/>
    </row>
    <row r="900" spans="1:1" ht="13.2">
      <c r="A900" s="33"/>
    </row>
    <row r="901" spans="1:1" ht="13.2">
      <c r="A901" s="33"/>
    </row>
    <row r="902" spans="1:1" ht="13.2">
      <c r="A902" s="33"/>
    </row>
    <row r="903" spans="1:1" ht="13.2">
      <c r="A903" s="33"/>
    </row>
    <row r="904" spans="1:1" ht="13.2">
      <c r="A904" s="33"/>
    </row>
    <row r="905" spans="1:1" ht="13.2">
      <c r="A905" s="33"/>
    </row>
    <row r="906" spans="1:1" ht="13.2">
      <c r="A906" s="33"/>
    </row>
    <row r="907" spans="1:1" ht="13.2">
      <c r="A907" s="33"/>
    </row>
    <row r="908" spans="1:1" ht="13.2">
      <c r="A908" s="33"/>
    </row>
    <row r="909" spans="1:1" ht="13.2">
      <c r="A909" s="33"/>
    </row>
    <row r="910" spans="1:1" ht="13.2">
      <c r="A910" s="33"/>
    </row>
    <row r="911" spans="1:1" ht="13.2">
      <c r="A911" s="33"/>
    </row>
    <row r="912" spans="1:1" ht="13.2">
      <c r="A912" s="33"/>
    </row>
    <row r="913" spans="1:1" ht="13.2">
      <c r="A913" s="33"/>
    </row>
    <row r="914" spans="1:1" ht="13.2">
      <c r="A914" s="33"/>
    </row>
    <row r="915" spans="1:1" ht="13.2">
      <c r="A915" s="33"/>
    </row>
    <row r="916" spans="1:1" ht="13.2">
      <c r="A916" s="33"/>
    </row>
    <row r="917" spans="1:1" ht="13.2">
      <c r="A917" s="33"/>
    </row>
    <row r="918" spans="1:1" ht="13.2">
      <c r="A918" s="33"/>
    </row>
    <row r="919" spans="1:1" ht="13.2">
      <c r="A919" s="33"/>
    </row>
    <row r="920" spans="1:1" ht="13.2">
      <c r="A920" s="33"/>
    </row>
    <row r="921" spans="1:1" ht="13.2">
      <c r="A921" s="33"/>
    </row>
    <row r="922" spans="1:1" ht="13.2">
      <c r="A922" s="33"/>
    </row>
    <row r="923" spans="1:1" ht="13.2">
      <c r="A923" s="33"/>
    </row>
    <row r="924" spans="1:1" ht="13.2">
      <c r="A924" s="33"/>
    </row>
    <row r="925" spans="1:1" ht="13.2">
      <c r="A925" s="33"/>
    </row>
    <row r="926" spans="1:1" ht="13.2">
      <c r="A926" s="33"/>
    </row>
    <row r="927" spans="1:1" ht="13.2">
      <c r="A927" s="33"/>
    </row>
    <row r="928" spans="1:1" ht="13.2">
      <c r="A928" s="33"/>
    </row>
    <row r="929" spans="1:1" ht="13.2">
      <c r="A929" s="33"/>
    </row>
    <row r="930" spans="1:1" ht="13.2">
      <c r="A930" s="33"/>
    </row>
    <row r="931" spans="1:1" ht="13.2">
      <c r="A931" s="33"/>
    </row>
    <row r="932" spans="1:1" ht="13.2">
      <c r="A932" s="33"/>
    </row>
    <row r="933" spans="1:1" ht="13.2">
      <c r="A933" s="33"/>
    </row>
    <row r="934" spans="1:1" ht="13.2">
      <c r="A934" s="33"/>
    </row>
    <row r="935" spans="1:1" ht="13.2">
      <c r="A935" s="33"/>
    </row>
    <row r="936" spans="1:1" ht="13.2">
      <c r="A936" s="33"/>
    </row>
    <row r="937" spans="1:1" ht="13.2">
      <c r="A937" s="33"/>
    </row>
    <row r="938" spans="1:1" ht="13.2">
      <c r="A938" s="33"/>
    </row>
    <row r="939" spans="1:1" ht="13.2">
      <c r="A939" s="33"/>
    </row>
    <row r="940" spans="1:1" ht="13.2">
      <c r="A940" s="33"/>
    </row>
    <row r="941" spans="1:1" ht="13.2">
      <c r="A941" s="33"/>
    </row>
    <row r="942" spans="1:1" ht="13.2">
      <c r="A942" s="33"/>
    </row>
    <row r="943" spans="1:1" ht="13.2">
      <c r="A943" s="33"/>
    </row>
    <row r="944" spans="1:1" ht="13.2">
      <c r="A944" s="33"/>
    </row>
    <row r="945" spans="1:1" ht="13.2">
      <c r="A945" s="33"/>
    </row>
    <row r="946" spans="1:1" ht="13.2">
      <c r="A946" s="33"/>
    </row>
    <row r="947" spans="1:1" ht="13.2">
      <c r="A947" s="33"/>
    </row>
    <row r="948" spans="1:1" ht="13.2">
      <c r="A948" s="33"/>
    </row>
    <row r="949" spans="1:1" ht="13.2">
      <c r="A949" s="33"/>
    </row>
    <row r="950" spans="1:1" ht="13.2">
      <c r="A950" s="33"/>
    </row>
    <row r="951" spans="1:1" ht="13.2">
      <c r="A951" s="33"/>
    </row>
    <row r="952" spans="1:1" ht="13.2">
      <c r="A952" s="33"/>
    </row>
    <row r="953" spans="1:1" ht="13.2">
      <c r="A953" s="33"/>
    </row>
    <row r="954" spans="1:1" ht="13.2">
      <c r="A954" s="33"/>
    </row>
    <row r="955" spans="1:1" ht="13.2">
      <c r="A955" s="33"/>
    </row>
    <row r="956" spans="1:1" ht="13.2">
      <c r="A956" s="33"/>
    </row>
    <row r="957" spans="1:1" ht="13.2">
      <c r="A957" s="33"/>
    </row>
    <row r="958" spans="1:1" ht="13.2">
      <c r="A958" s="33"/>
    </row>
    <row r="959" spans="1:1" ht="13.2">
      <c r="A959" s="33"/>
    </row>
    <row r="960" spans="1:1" ht="13.2">
      <c r="A960" s="33"/>
    </row>
    <row r="961" spans="1:1" ht="13.2">
      <c r="A961" s="33"/>
    </row>
    <row r="962" spans="1:1" ht="13.2">
      <c r="A962" s="33"/>
    </row>
    <row r="963" spans="1:1" ht="13.2">
      <c r="A963" s="33"/>
    </row>
    <row r="964" spans="1:1" ht="13.2">
      <c r="A964" s="33"/>
    </row>
    <row r="965" spans="1:1" ht="13.2">
      <c r="A965" s="33"/>
    </row>
    <row r="966" spans="1:1" ht="13.2">
      <c r="A966" s="33"/>
    </row>
    <row r="967" spans="1:1" ht="13.2">
      <c r="A967" s="33"/>
    </row>
    <row r="968" spans="1:1" ht="13.2">
      <c r="A968" s="33"/>
    </row>
    <row r="969" spans="1:1" ht="13.2">
      <c r="A969" s="33"/>
    </row>
    <row r="970" spans="1:1" ht="13.2">
      <c r="A970" s="33"/>
    </row>
    <row r="971" spans="1:1" ht="13.2">
      <c r="A971" s="33"/>
    </row>
    <row r="972" spans="1:1" ht="13.2">
      <c r="A972" s="33"/>
    </row>
    <row r="973" spans="1:1" ht="13.2">
      <c r="A973" s="33"/>
    </row>
    <row r="974" spans="1:1" ht="13.2">
      <c r="A974" s="33"/>
    </row>
    <row r="975" spans="1:1" ht="13.2">
      <c r="A975" s="33"/>
    </row>
    <row r="976" spans="1:1" ht="13.2">
      <c r="A976" s="33"/>
    </row>
    <row r="977" spans="1:1" ht="13.2">
      <c r="A977" s="33"/>
    </row>
    <row r="978" spans="1:1" ht="13.2">
      <c r="A978" s="33"/>
    </row>
    <row r="979" spans="1:1" ht="13.2">
      <c r="A979" s="33"/>
    </row>
    <row r="980" spans="1:1" ht="13.2">
      <c r="A980" s="33"/>
    </row>
    <row r="981" spans="1:1" ht="13.2">
      <c r="A981" s="33"/>
    </row>
    <row r="982" spans="1:1" ht="13.2">
      <c r="A982" s="33"/>
    </row>
    <row r="983" spans="1:1" ht="13.2">
      <c r="A983" s="33"/>
    </row>
    <row r="984" spans="1:1" ht="13.2">
      <c r="A984" s="33"/>
    </row>
    <row r="985" spans="1:1" ht="13.2">
      <c r="A985" s="3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 &amp; CURR INV</vt:lpstr>
      <vt:lpstr>LOGISTICS DATA</vt:lpstr>
      <vt:lpstr>WH DATA</vt:lpstr>
      <vt:lpstr>ACTION PLAN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sagar m</dc:creator>
  <cp:lastModifiedBy>sagar m</cp:lastModifiedBy>
  <dcterms:created xsi:type="dcterms:W3CDTF">2025-09-27T12:38:07Z</dcterms:created>
  <dcterms:modified xsi:type="dcterms:W3CDTF">2025-09-27T12:41:32Z</dcterms:modified>
</cp:coreProperties>
</file>